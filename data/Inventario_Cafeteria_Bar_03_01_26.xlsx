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en_General" sheetId="1" r:id="rId4"/>
    <sheet state="visible" name="panadería" sheetId="2" r:id="rId5"/>
    <sheet state="visible" name="Cervezas" sheetId="3" r:id="rId6"/>
    <sheet state="visible" name="Licores" sheetId="4" r:id="rId7"/>
    <sheet state="visible" name="Licores_Shots" sheetId="5" r:id="rId8"/>
    <sheet state="visible" name="Siropes_Bases" sheetId="6" r:id="rId9"/>
    <sheet state="visible" name="Lacteos" sheetId="7" r:id="rId10"/>
    <sheet state="visible" name="Activos" sheetId="8" r:id="rId11"/>
    <sheet state="visible" name="Limpieza" sheetId="9" r:id="rId12"/>
    <sheet state="visible" name="Insumos_Cafe" sheetId="10" r:id="rId13"/>
    <sheet state="visible" name="Desechables" sheetId="11" r:id="rId14"/>
  </sheets>
  <definedNames/>
  <calcPr/>
  <extLst>
    <ext uri="GoogleSheetsCustomDataVersion2">
      <go:sheetsCustomData xmlns:go="http://customooxmlschemas.google.com/" r:id="rId15" roundtripDataChecksum="T3wul9qhAJHRq5E4U+jqN8PEP7LvueHOE134FCEzKgc="/>
    </ext>
  </extLst>
</workbook>
</file>

<file path=xl/sharedStrings.xml><?xml version="1.0" encoding="utf-8"?>
<sst xmlns="http://schemas.openxmlformats.org/spreadsheetml/2006/main" count="684" uniqueCount="334">
  <si>
    <t>RESUMEN GENERAL DEL INVENTARIO</t>
  </si>
  <si>
    <t>Categoría</t>
  </si>
  <si>
    <t>Cantidad Total</t>
  </si>
  <si>
    <t>Valor Total (COP)</t>
  </si>
  <si>
    <t>Porcentaje</t>
  </si>
  <si>
    <t>Cervezas</t>
  </si>
  <si>
    <t>Licores y Shots</t>
  </si>
  <si>
    <t>Licores y Bebidas Especiales</t>
  </si>
  <si>
    <t>Siropes y Bases de Cóctel</t>
  </si>
  <si>
    <t>Lácteos y Complementos</t>
  </si>
  <si>
    <t>Insumos de Café</t>
  </si>
  <si>
    <t>Snacks y Alimentos</t>
  </si>
  <si>
    <t>Utensilios Desechables</t>
  </si>
  <si>
    <t>Activos y Equipamiento</t>
  </si>
  <si>
    <t>Equipos y Maquinaria</t>
  </si>
  <si>
    <t>Productos de Limpieza</t>
  </si>
  <si>
    <t>TOTAL GENERAL</t>
  </si>
  <si>
    <t>Código</t>
  </si>
  <si>
    <t>Producto / Descripción</t>
  </si>
  <si>
    <t>Tamaño</t>
  </si>
  <si>
    <t>Unidad</t>
  </si>
  <si>
    <t>Cantidad</t>
  </si>
  <si>
    <t>Precio Unitario (COP)</t>
  </si>
  <si>
    <t>Observaciones</t>
  </si>
  <si>
    <t>Fecha de compra</t>
  </si>
  <si>
    <t>PAN-001</t>
  </si>
  <si>
    <t>Ponqué Ramo</t>
  </si>
  <si>
    <t>N/A</t>
  </si>
  <si>
    <t>Und</t>
  </si>
  <si>
    <t>Producto de panadería empacado</t>
  </si>
  <si>
    <t>Total</t>
  </si>
  <si>
    <t>Total Panadería</t>
  </si>
  <si>
    <t>BEBIDAS ALCOHÓLICAS - CERVEZAS</t>
  </si>
  <si>
    <t>Producto</t>
  </si>
  <si>
    <t>Tamaño por unidad</t>
  </si>
  <si>
    <t>Unidad Real</t>
  </si>
  <si>
    <t>Cantidad Real (ml)</t>
  </si>
  <si>
    <t>Costo por ml (COP)</t>
  </si>
  <si>
    <t>Fecha de Compra</t>
  </si>
  <si>
    <t>CE-001</t>
  </si>
  <si>
    <t>Poker latas</t>
  </si>
  <si>
    <t>330 ml</t>
  </si>
  <si>
    <t>Lata</t>
  </si>
  <si>
    <t>Mililitros</t>
  </si>
  <si>
    <t>27.060 ml</t>
  </si>
  <si>
    <t>$8,08 / ml</t>
  </si>
  <si>
    <t>Nuevo producto</t>
  </si>
  <si>
    <t>CE-002</t>
  </si>
  <si>
    <t>Poker latones</t>
  </si>
  <si>
    <t>473 ml</t>
  </si>
  <si>
    <t>Latón</t>
  </si>
  <si>
    <t>11.352 ml</t>
  </si>
  <si>
    <t>$7,04 / ml</t>
  </si>
  <si>
    <t>CE-003</t>
  </si>
  <si>
    <t>Águila lata</t>
  </si>
  <si>
    <t>1.980 ml</t>
  </si>
  <si>
    <t>$10,61 / ml</t>
  </si>
  <si>
    <t>CE-004</t>
  </si>
  <si>
    <t>Águila latón</t>
  </si>
  <si>
    <t>1.419 ml</t>
  </si>
  <si>
    <t>$8,46 / ml</t>
  </si>
  <si>
    <t>CE-005</t>
  </si>
  <si>
    <t>Club Colombia Trigo</t>
  </si>
  <si>
    <t>660 ml</t>
  </si>
  <si>
    <t>$11,06 / ml</t>
  </si>
  <si>
    <t>CE-006</t>
  </si>
  <si>
    <t>Four Loko</t>
  </si>
  <si>
    <t>946 ml</t>
  </si>
  <si>
    <t>$31,72 / ml</t>
  </si>
  <si>
    <t>Tamaño botella</t>
  </si>
  <si>
    <t>—</t>
  </si>
  <si>
    <t>Tequila Olmeca Blanco</t>
  </si>
  <si>
    <t>700 ml</t>
  </si>
  <si>
    <t>Botella</t>
  </si>
  <si>
    <t>$116,4 / ml</t>
  </si>
  <si>
    <t>Stock alto</t>
  </si>
  <si>
    <t>Aperitivo Campari Milano</t>
  </si>
  <si>
    <t>750 ml</t>
  </si>
  <si>
    <t>$162,5 / ml</t>
  </si>
  <si>
    <t>Importado</t>
  </si>
  <si>
    <t>Ginebra Gordon’s</t>
  </si>
  <si>
    <t>$112,3 / ml</t>
  </si>
  <si>
    <t>Clásico</t>
  </si>
  <si>
    <t>Whisky Duggan’s Dew</t>
  </si>
  <si>
    <t>$68,6 / ml</t>
  </si>
  <si>
    <t>Oferta limitada</t>
  </si>
  <si>
    <t>Vodka Moskovskaya</t>
  </si>
  <si>
    <t>$78,4 / ml</t>
  </si>
  <si>
    <t>Buena rotación</t>
  </si>
  <si>
    <t>Vino tinto Cata Vieja</t>
  </si>
  <si>
    <t>1.500 ml</t>
  </si>
  <si>
    <t>$30,5 / ml</t>
  </si>
  <si>
    <t>Promoción 2x1</t>
  </si>
  <si>
    <t>Smirnoff Tamarindo</t>
  </si>
  <si>
    <t>1.400 ml</t>
  </si>
  <si>
    <t>$78,2 / ml</t>
  </si>
  <si>
    <t>Nuevo sabor</t>
  </si>
  <si>
    <t>Vino Cruzares</t>
  </si>
  <si>
    <t>$26,7 / ml</t>
  </si>
  <si>
    <t>Económico</t>
  </si>
  <si>
    <t>Vino Santa Elena</t>
  </si>
  <si>
    <t>$89,2 / ml</t>
  </si>
  <si>
    <t>Cosecha 2024</t>
  </si>
  <si>
    <t>8.750 ml</t>
  </si>
  <si>
    <t>**12**</t>
  </si>
  <si>
    <t>**$553.350,00**</t>
  </si>
  <si>
    <t>**$697.900**</t>
  </si>
  <si>
    <t>Cantidad (fracción)</t>
  </si>
  <si>
    <t>Precio Botella (COP)</t>
  </si>
  <si>
    <t>Valor en Inventario (COP)</t>
  </si>
  <si>
    <t>AGU-EST</t>
  </si>
  <si>
    <t>Aguardiente</t>
  </si>
  <si>
    <t>$69,2 / ml</t>
  </si>
  <si>
    <t>Completa</t>
  </si>
  <si>
    <t>TEQ-1800</t>
  </si>
  <si>
    <t>Tequila 1800</t>
  </si>
  <si>
    <t>300 ml</t>
  </si>
  <si>
    <t>$320 / ml</t>
  </si>
  <si>
    <t>Media gastada</t>
  </si>
  <si>
    <t>CHA-ART</t>
  </si>
  <si>
    <t>Chapil artesanal</t>
  </si>
  <si>
    <t>375 ml</t>
  </si>
  <si>
    <t>112,5 ml</t>
  </si>
  <si>
    <t>Media</t>
  </si>
  <si>
    <t>WHI-SS</t>
  </si>
  <si>
    <t>Whisky Something Special</t>
  </si>
  <si>
    <t>200 ml</t>
  </si>
  <si>
    <t>60 ml</t>
  </si>
  <si>
    <t>$900 / ml</t>
  </si>
  <si>
    <t>COÑ-DOM</t>
  </si>
  <si>
    <t>Domecq</t>
  </si>
  <si>
    <t>56,25 ml</t>
  </si>
  <si>
    <t>$40 / ml</t>
  </si>
  <si>
    <t>Baja cantidad</t>
  </si>
  <si>
    <t>TEQ-JC</t>
  </si>
  <si>
    <t>José Cuervo Tequila</t>
  </si>
  <si>
    <t>187,5 ml</t>
  </si>
  <si>
    <t>$146,7 / ml</t>
  </si>
  <si>
    <t>1/4 inventario</t>
  </si>
  <si>
    <t>WHI-OP</t>
  </si>
  <si>
    <t>Whisky Old Par</t>
  </si>
  <si>
    <t>$333,3 / ml</t>
  </si>
  <si>
    <t>AGU-NAR</t>
  </si>
  <si>
    <t>Aguardiente Nariño</t>
  </si>
  <si>
    <t>2.250 ml</t>
  </si>
  <si>
    <t>Completas</t>
  </si>
  <si>
    <t>3.903 ml</t>
  </si>
  <si>
    <t>**4,75**</t>
  </si>
  <si>
    <t>**$908.800,00**</t>
  </si>
  <si>
    <t>**$452.850,00**</t>
  </si>
  <si>
    <t>SIROPES Y BASES DE CÓCTEL</t>
  </si>
  <si>
    <t>Unidad de Compra</t>
  </si>
  <si>
    <t>Total Unidades Reales</t>
  </si>
  <si>
    <t>Costo Total (COP)</t>
  </si>
  <si>
    <t>Costo por Unidad Real (COP)</t>
  </si>
  <si>
    <t>SYR-001</t>
  </si>
  <si>
    <t>Sirope arándanos</t>
  </si>
  <si>
    <t>1.000 ml</t>
  </si>
  <si>
    <t>$20 / ml</t>
  </si>
  <si>
    <t>BASE-001</t>
  </si>
  <si>
    <t>Base cóctel Brissart granadina</t>
  </si>
  <si>
    <t>$25,2 / ml</t>
  </si>
  <si>
    <t>BASE-002</t>
  </si>
  <si>
    <t>Base cóctel Brissart maracuyá</t>
  </si>
  <si>
    <t>SYR-002</t>
  </si>
  <si>
    <t>Syrup Finest Call Blue Curacao</t>
  </si>
  <si>
    <t>$33,3 / ml</t>
  </si>
  <si>
    <t>BASE-003</t>
  </si>
  <si>
    <t>Base cóctel Finest Call Triple Sec</t>
  </si>
  <si>
    <t>REF-001</t>
  </si>
  <si>
    <t>Bretaña personal x6</t>
  </si>
  <si>
    <t>Paquete</t>
  </si>
  <si>
    <t>6 und</t>
  </si>
  <si>
    <t>$2.000 / und</t>
  </si>
  <si>
    <t>REF-002</t>
  </si>
  <si>
    <t>Bretaña</t>
  </si>
  <si>
    <t>$3,33 / ml</t>
  </si>
  <si>
    <t>COND-001</t>
  </si>
  <si>
    <t>Tajín</t>
  </si>
  <si>
    <t>1 und</t>
  </si>
  <si>
    <t>$5.700 / und</t>
  </si>
  <si>
    <t>HIE-001</t>
  </si>
  <si>
    <t>Hielo bolsa</t>
  </si>
  <si>
    <t>Bolsa</t>
  </si>
  <si>
    <t>2 bolsas</t>
  </si>
  <si>
    <t>$12.000 / bolsa</t>
  </si>
  <si>
    <t>7.506 unidades reales</t>
  </si>
  <si>
    <t>**10**</t>
  </si>
  <si>
    <t>**$171.700**</t>
  </si>
  <si>
    <t>**$181.700**</t>
  </si>
  <si>
    <t>LÁCTEOS Y COMPLEMENTOS</t>
  </si>
  <si>
    <t>Total Unidades Reales (ml)</t>
  </si>
  <si>
    <t>LEC-ALS-1L</t>
  </si>
  <si>
    <t>Leche Alquería semidescremada</t>
  </si>
  <si>
    <t>$6 / ml</t>
  </si>
  <si>
    <t>2.000 ml</t>
  </si>
  <si>
    <t>ACTIVOS Y EQUIPAMIENTO DEL CAFÉ</t>
  </si>
  <si>
    <t>UT-PPL001</t>
  </si>
  <si>
    <t>Papelera / Basurero negra</t>
  </si>
  <si>
    <t>20 L</t>
  </si>
  <si>
    <t>MN-MUG001</t>
  </si>
  <si>
    <t>Mug Bourbon Nashville Café</t>
  </si>
  <si>
    <t>MN-POC001</t>
  </si>
  <si>
    <t>Pocillo café semi liso</t>
  </si>
  <si>
    <t>98.8 cc</t>
  </si>
  <si>
    <t>MN-CUC001</t>
  </si>
  <si>
    <t>Cucharilla larga</t>
  </si>
  <si>
    <t>UT-COL001</t>
  </si>
  <si>
    <t>Colador de café</t>
  </si>
  <si>
    <t>EL-BOM001</t>
  </si>
  <si>
    <t>Bombillo Philips 5.5W</t>
  </si>
  <si>
    <t>MN-VIV001</t>
  </si>
  <si>
    <t>Vasos plásticos para vino</t>
  </si>
  <si>
    <t>MN-CEG001</t>
  </si>
  <si>
    <t>Vasos cerveza grande</t>
  </si>
  <si>
    <t>MN-CEP001</t>
  </si>
  <si>
    <t>Vasos cerveza pequeño</t>
  </si>
  <si>
    <t>MN-COM001</t>
  </si>
  <si>
    <t>Copa coctel margarita</t>
  </si>
  <si>
    <t>MN-VMM001</t>
  </si>
  <si>
    <t>Vaso Moscow Mule</t>
  </si>
  <si>
    <t>MN-VTI001</t>
  </si>
  <si>
    <t>Vaso tinto</t>
  </si>
  <si>
    <t>UT-PRF001</t>
  </si>
  <si>
    <t>Prensa francesa</t>
  </si>
  <si>
    <t>MN-TER001</t>
  </si>
  <si>
    <t>Termo café</t>
  </si>
  <si>
    <t>MN-DOM001</t>
  </si>
  <si>
    <t>Domos para tortas</t>
  </si>
  <si>
    <t>MB-NEV001</t>
  </si>
  <si>
    <t>Nevera usada</t>
  </si>
  <si>
    <t>EL-PAR001</t>
  </si>
  <si>
    <t>Parlante HK Onyx 2</t>
  </si>
  <si>
    <t>MB-COM001</t>
  </si>
  <si>
    <t>Combo mesa y sillas</t>
  </si>
  <si>
    <t>MB-MES001</t>
  </si>
  <si>
    <t>Mesa Rimax</t>
  </si>
  <si>
    <t>UT-TAP001</t>
  </si>
  <si>
    <t>Tabla para picar</t>
  </si>
  <si>
    <t>UT-CFM001</t>
  </si>
  <si>
    <t>Cafetera moka</t>
  </si>
  <si>
    <t>UT-CEN001</t>
  </si>
  <si>
    <t>Cenicero</t>
  </si>
  <si>
    <t>EL-LEL001</t>
  </si>
  <si>
    <t>Letrero luminoso</t>
  </si>
  <si>
    <t>MN-CUC002</t>
  </si>
  <si>
    <t>Cuchillos x3</t>
  </si>
  <si>
    <t>Set</t>
  </si>
  <si>
    <t>INS-GAN001</t>
  </si>
  <si>
    <t>Ganchos sujetadores</t>
  </si>
  <si>
    <t>MN-CPS001</t>
  </si>
  <si>
    <t>Copas shot x12</t>
  </si>
  <si>
    <t>INS-ENC001</t>
  </si>
  <si>
    <t>Encendedor para velas</t>
  </si>
  <si>
    <t>UT-EXP001</t>
  </si>
  <si>
    <t>Exprimidor metálico</t>
  </si>
  <si>
    <t>UT-TIJ001</t>
  </si>
  <si>
    <t>Tijera</t>
  </si>
  <si>
    <t>INS-VEL001</t>
  </si>
  <si>
    <t>Velas x12</t>
  </si>
  <si>
    <t>MB-CAJ001</t>
  </si>
  <si>
    <t>Caja de madera</t>
  </si>
  <si>
    <t>88 unidades reales</t>
  </si>
  <si>
    <t>PRODUCTOS DE LIMPIEZA</t>
  </si>
  <si>
    <t>LIM-001</t>
  </si>
  <si>
    <t>Limpión microfibra carros</t>
  </si>
  <si>
    <t>$4.200 / und</t>
  </si>
  <si>
    <t>LIM-002</t>
  </si>
  <si>
    <t>Jabón de loza</t>
  </si>
  <si>
    <t>$5.000 / und</t>
  </si>
  <si>
    <t>ASE-001</t>
  </si>
  <si>
    <t>Desodorante Speed Stick Ultra Gel</t>
  </si>
  <si>
    <t>$34.600 / und</t>
  </si>
  <si>
    <t>LIM-003</t>
  </si>
  <si>
    <t>Trapeador</t>
  </si>
  <si>
    <t>$10.000 / und</t>
  </si>
  <si>
    <t>LIM-004</t>
  </si>
  <si>
    <t>Escoba</t>
  </si>
  <si>
    <t>LIM-005</t>
  </si>
  <si>
    <t>Recogedor</t>
  </si>
  <si>
    <t>INS-001</t>
  </si>
  <si>
    <t>Papel toalla Scott</t>
  </si>
  <si>
    <t>Rollo</t>
  </si>
  <si>
    <t>$16.000 / rollo</t>
  </si>
  <si>
    <t>INS-002</t>
  </si>
  <si>
    <t>Servilletas</t>
  </si>
  <si>
    <t>$6.000 / paq</t>
  </si>
  <si>
    <t>DES-PH01</t>
  </si>
  <si>
    <t>Papel Higiénico</t>
  </si>
  <si>
    <t>$2.400 / und</t>
  </si>
  <si>
    <t>INSUMOS DE CAFÉ</t>
  </si>
  <si>
    <t>CAF-001</t>
  </si>
  <si>
    <t>Café Sello Rojo</t>
  </si>
  <si>
    <t>450 g</t>
  </si>
  <si>
    <t>Gramos</t>
  </si>
  <si>
    <t>900 g</t>
  </si>
  <si>
    <t>$35,6 / g</t>
  </si>
  <si>
    <t>CAF-002</t>
  </si>
  <si>
    <t>Café Instantáneo</t>
  </si>
  <si>
    <t>47 g</t>
  </si>
  <si>
    <t>Frasco</t>
  </si>
  <si>
    <t>$234 / g</t>
  </si>
  <si>
    <t>Azúcar</t>
  </si>
  <si>
    <t>1 L</t>
  </si>
  <si>
    <t>Litro</t>
  </si>
  <si>
    <t>$5.000 / L</t>
  </si>
  <si>
    <t>Aromáticas</t>
  </si>
  <si>
    <t>1 Und</t>
  </si>
  <si>
    <t>$4.000 / und</t>
  </si>
  <si>
    <t>UTEN-001</t>
  </si>
  <si>
    <t>Bolsa para colar café</t>
  </si>
  <si>
    <t>2 Und</t>
  </si>
  <si>
    <t>$5.900 / und</t>
  </si>
  <si>
    <t>UTENSILIOS DESECHABLES</t>
  </si>
  <si>
    <t>Cant. de Paquetes</t>
  </si>
  <si>
    <t>Unidades por Paquete</t>
  </si>
  <si>
    <t>Total Unidades</t>
  </si>
  <si>
    <t>Precio Paquete (COP)</t>
  </si>
  <si>
    <t>Costo por Unidad (COP)</t>
  </si>
  <si>
    <t>DES-CI20</t>
  </si>
  <si>
    <t>Caja de Icopor</t>
  </si>
  <si>
    <t>Pack</t>
  </si>
  <si>
    <t>DES-VI20</t>
  </si>
  <si>
    <t>Vaso de Icopor</t>
  </si>
  <si>
    <t>DES-VP40</t>
  </si>
  <si>
    <t>Vaso de Papel</t>
  </si>
  <si>
    <t>9 oz</t>
  </si>
  <si>
    <t>DES-CDP60</t>
  </si>
  <si>
    <t>Copa Desechable Pequeña</t>
  </si>
  <si>
    <t>DES-PAL180</t>
  </si>
  <si>
    <t>Palillos</t>
  </si>
  <si>
    <t>DES-TV6OZ50</t>
  </si>
  <si>
    <t>Tapa para Vaso</t>
  </si>
  <si>
    <t>6 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</si>
</sst>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\$#,##0"/>
    <numFmt numFmtId="165" formatCode="&quot;$&quot;#,##0.00"/>
    <numFmt numFmtId="166" formatCode="dd/mm/yyyy"/>
    <numFmt numFmtId="167" formatCode="d/m/yyyy"/>
    <numFmt numFmtId="168" formatCode="&quot;$&quot;#,##0"/>
  </numFmts>
  <fonts count="9">
    <font>
      <sz val="11.0"/>
      <color theme="1"/>
      <name val="Calibri"/>
      <scheme val="minor"/>
    </font>
    <font>
      <b/>
      <sz val="16.0"/>
      <color rgb="FFFFFFFF"/>
      <name val="Calibri"/>
    </font>
    <font/>
    <font>
      <b/>
      <sz val="11.0"/>
      <color rgb="FFFFFFFF"/>
      <name val="Calibri"/>
    </font>
    <font>
      <sz val="11.0"/>
      <color theme="1"/>
      <name val="Calibri"/>
    </font>
    <font>
      <b/>
      <sz val="14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366092"/>
        <bgColor rgb="FF366092"/>
      </patternFill>
    </fill>
    <fill>
      <patternFill patternType="solid">
        <fgColor rgb="FFFFC000"/>
        <bgColor rgb="FFFFC000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4B084"/>
        <bgColor rgb="FFF4B084"/>
      </patternFill>
    </fill>
    <fill>
      <patternFill patternType="solid">
        <fgColor rgb="FFD5E8D4"/>
        <bgColor rgb="FFD5E8D4"/>
      </patternFill>
    </fill>
    <fill>
      <patternFill patternType="solid">
        <fgColor rgb="FFE1D5E7"/>
        <bgColor rgb="FFE1D5E7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4" fillId="0" fontId="4" numFmtId="0" xfId="0" applyBorder="1" applyFont="1"/>
    <xf borderId="4" fillId="0" fontId="4" numFmtId="0" xfId="0" applyAlignment="1" applyBorder="1" applyFont="1">
      <alignment horizontal="center"/>
    </xf>
    <xf borderId="4" fillId="0" fontId="4" numFmtId="164" xfId="0" applyAlignment="1" applyBorder="1" applyFont="1" applyNumberFormat="1">
      <alignment horizontal="right"/>
    </xf>
    <xf borderId="4" fillId="0" fontId="4" numFmtId="10" xfId="0" applyAlignment="1" applyBorder="1" applyFont="1" applyNumberFormat="1">
      <alignment horizontal="right"/>
    </xf>
    <xf borderId="4" fillId="4" fontId="5" numFmtId="0" xfId="0" applyAlignment="1" applyBorder="1" applyFill="1" applyFont="1">
      <alignment horizontal="right" vertical="center"/>
    </xf>
    <xf borderId="4" fillId="4" fontId="5" numFmtId="0" xfId="0" applyAlignment="1" applyBorder="1" applyFont="1">
      <alignment horizontal="center" vertical="center"/>
    </xf>
    <xf borderId="4" fillId="4" fontId="5" numFmtId="164" xfId="0" applyAlignment="1" applyBorder="1" applyFont="1" applyNumberFormat="1">
      <alignment horizontal="right" vertical="center"/>
    </xf>
    <xf borderId="4" fillId="4" fontId="5" numFmtId="10" xfId="0" applyAlignment="1" applyBorder="1" applyFont="1" applyNumberFormat="1">
      <alignment horizontal="right" vertical="center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165" xfId="0" applyAlignment="1" applyFont="1" applyNumberFormat="1">
      <alignment readingOrder="0"/>
    </xf>
    <xf borderId="0" fillId="0" fontId="7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1" fillId="5" fontId="5" numFmtId="0" xfId="0" applyAlignment="1" applyBorder="1" applyFill="1" applyFont="1">
      <alignment horizontal="center" vertical="center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0" fillId="0" fontId="6" numFmtId="165" xfId="0" applyAlignment="1" applyFont="1" applyNumberFormat="1">
      <alignment readingOrder="0"/>
    </xf>
    <xf borderId="0" fillId="0" fontId="7" numFmtId="167" xfId="0" applyAlignment="1" applyFont="1" applyNumberFormat="1">
      <alignment readingOrder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6" numFmtId="168" xfId="0" applyAlignment="1" applyFont="1" applyNumberFormat="1">
      <alignment readingOrder="0" shrinkToFit="0" vertical="center" wrapText="0"/>
    </xf>
    <xf borderId="0" fillId="0" fontId="7" numFmtId="168" xfId="0" applyAlignment="1" applyFont="1" applyNumberFormat="1">
      <alignment readingOrder="0" shrinkToFit="0" vertical="center" wrapText="0"/>
    </xf>
    <xf borderId="0" fillId="0" fontId="7" numFmtId="167" xfId="0" applyAlignment="1" applyFont="1" applyNumberFormat="1">
      <alignment readingOrder="0" shrinkToFit="0" vertical="center" wrapText="0"/>
    </xf>
    <xf borderId="0" fillId="0" fontId="6" numFmtId="168" xfId="0" applyAlignment="1" applyFont="1" applyNumberForma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0"/>
    </xf>
    <xf borderId="4" fillId="0" fontId="4" numFmtId="0" xfId="0" applyAlignment="1" applyBorder="1" applyFont="1">
      <alignment horizontal="left" readingOrder="0"/>
    </xf>
    <xf borderId="0" fillId="0" fontId="4" numFmtId="0" xfId="0" applyFont="1"/>
    <xf borderId="0" fillId="0" fontId="8" numFmtId="0" xfId="0" applyAlignment="1" applyFont="1">
      <alignment horizontal="right"/>
    </xf>
    <xf borderId="0" fillId="0" fontId="6" numFmtId="165" xfId="0" applyAlignment="1" applyFont="1" applyNumberFormat="1">
      <alignment readingOrder="0" shrinkToFit="0" vertical="center" wrapText="0"/>
    </xf>
    <xf borderId="0" fillId="0" fontId="7" numFmtId="166" xfId="0" applyAlignment="1" applyFont="1" applyNumberFormat="1">
      <alignment readingOrder="0" shrinkToFit="0" vertical="center" wrapText="0"/>
    </xf>
    <xf borderId="0" fillId="0" fontId="6" numFmtId="165" xfId="0" applyAlignment="1" applyFont="1" applyNumberFormat="1">
      <alignment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0" fillId="0" fontId="7" numFmtId="165" xfId="0" applyAlignment="1" applyFont="1" applyNumberFormat="1">
      <alignment shrinkToFit="0" vertical="center" wrapText="0"/>
    </xf>
    <xf borderId="0" fillId="0" fontId="7" numFmtId="165" xfId="0" applyFont="1" applyNumberFormat="1"/>
    <xf borderId="1" fillId="6" fontId="5" numFmtId="0" xfId="0" applyAlignment="1" applyBorder="1" applyFill="1" applyFont="1">
      <alignment horizontal="center" vertical="center"/>
    </xf>
    <xf borderId="1" fillId="7" fontId="5" numFmtId="0" xfId="0" applyAlignment="1" applyBorder="1" applyFill="1" applyFont="1">
      <alignment horizontal="center" vertical="center"/>
    </xf>
    <xf borderId="0" fillId="0" fontId="6" numFmtId="168" xfId="0" applyAlignment="1" applyFont="1" applyNumberFormat="1">
      <alignment readingOrder="0"/>
    </xf>
    <xf borderId="0" fillId="0" fontId="6" numFmtId="166" xfId="0" applyAlignment="1" applyFont="1" applyNumberFormat="1">
      <alignment readingOrder="0"/>
    </xf>
    <xf borderId="1" fillId="8" fontId="5" numFmtId="0" xfId="0" applyAlignment="1" applyBorder="1" applyFill="1" applyFont="1">
      <alignment horizontal="center" vertical="center"/>
    </xf>
    <xf borderId="0" fillId="0" fontId="7" numFmtId="168" xfId="0" applyAlignment="1" applyFont="1" applyNumberFormat="1">
      <alignment readingOrder="0" shrinkToFit="0" vertical="center" wrapText="0"/>
    </xf>
    <xf borderId="0" fillId="0" fontId="7" numFmtId="165" xfId="0" applyAlignment="1" applyFont="1" applyNumberFormat="1">
      <alignment readingOrder="0" shrinkToFit="0" vertical="center" wrapText="0"/>
    </xf>
    <xf borderId="1" fillId="9" fontId="5" numFmtId="0" xfId="0" applyAlignment="1" applyBorder="1" applyFill="1" applyFont="1">
      <alignment horizontal="center" vertical="center"/>
    </xf>
    <xf borderId="0" fillId="0" fontId="7" numFmtId="168" xfId="0" applyAlignment="1" applyFont="1" applyNumberFormat="1">
      <alignment readingOrder="0"/>
    </xf>
    <xf borderId="0" fillId="0" fontId="7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168" xfId="0" applyAlignment="1" applyFont="1" applyNumberFormat="1">
      <alignment readingOrder="0" shrinkToFit="0" vertical="center" wrapText="0"/>
    </xf>
    <xf borderId="1" fillId="10" fontId="5" numFmtId="0" xfId="0" applyAlignment="1" applyBorder="1" applyFill="1" applyFont="1">
      <alignment horizontal="center" vertical="center"/>
    </xf>
    <xf borderId="1" fillId="11" fontId="5" numFmtId="0" xfId="0" applyAlignment="1" applyBorder="1" applyFill="1" applyFont="1">
      <alignment horizontal="center" vertical="center"/>
    </xf>
    <xf borderId="0" fillId="0" fontId="7" numFmtId="0" xfId="0" applyAlignment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9">
    <tableStyle count="4" pivot="0" name="Cervez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cor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cores_Sho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iropes_Ba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acte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ctiv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impie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sumos_Caf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sechab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H9" displayName="Tabla_1" name="Tabla_1" id="1">
  <tableColumns count="8">
    <tableColumn name="Código" id="1"/>
    <tableColumn name="Producto" id="2"/>
    <tableColumn name="Tamaño por unidad" id="3"/>
    <tableColumn name="Unidad" id="4"/>
    <tableColumn name="Cantidad" id="5"/>
    <tableColumn name="Unidad Real" id="6"/>
    <tableColumn name="Cantidad Real (ml)" id="7"/>
    <tableColumn name="Precio Unitario (COP)" id="8"/>
  </tableColumns>
  <tableStyleInfo name="Cervezas-style" showColumnStripes="0" showFirstColumn="1" showLastColumn="1" showRowStripes="1"/>
</table>
</file>

<file path=xl/tables/table2.xml><?xml version="1.0" encoding="utf-8"?>
<table xmlns="http://schemas.openxmlformats.org/spreadsheetml/2006/main" ref="A1:L11" displayName="Tabla_2" name="Tabla_2" id="2">
  <tableColumns count="12">
    <tableColumn name="Código" id="1"/>
    <tableColumn name="Producto / Descripción" id="2"/>
    <tableColumn name="Tamaño botella" id="3"/>
    <tableColumn name="Unidad" id="4"/>
    <tableColumn name="Cantidad" id="5"/>
    <tableColumn name="Unidad Real" id="6"/>
    <tableColumn name="Cantidad Real (ml)" id="7"/>
    <tableColumn name="Precio Unitario (COP)" id="8"/>
    <tableColumn name="Valor Total (COP)" id="9"/>
    <tableColumn name="Costo por ml (COP)" id="10"/>
    <tableColumn name="Fecha de Compra" id="11"/>
    <tableColumn name="Observaciones" id="12"/>
  </tableColumns>
  <tableStyleInfo name="Licores-style" showColumnStripes="0" showFirstColumn="1" showLastColumn="1" showRowStripes="1"/>
</table>
</file>

<file path=xl/tables/table3.xml><?xml version="1.0" encoding="utf-8"?>
<table xmlns="http://schemas.openxmlformats.org/spreadsheetml/2006/main" ref="A1:L10" displayName="Tabla_3" name="Tabla_3" id="3">
  <tableColumns count="12">
    <tableColumn name="Código" id="1"/>
    <tableColumn name="Producto" id="2"/>
    <tableColumn name="Tamaño botella" id="3"/>
    <tableColumn name="Unidad" id="4"/>
    <tableColumn name="Cantidad (fracción)" id="5"/>
    <tableColumn name="Unidad Real" id="6"/>
    <tableColumn name="Cantidad Real (ml)" id="7"/>
    <tableColumn name="Precio Botella (COP)" id="8"/>
    <tableColumn name="Valor en Inventario (COP)" id="9"/>
    <tableColumn name="Costo por ml (COP)" id="10"/>
    <tableColumn name="Fecha de Compra" id="11"/>
    <tableColumn name="Observaciones" id="12"/>
  </tableColumns>
  <tableStyleInfo name="Licores_Shots-style" showColumnStripes="0" showFirstColumn="1" showLastColumn="1" showRowStripes="1"/>
</table>
</file>

<file path=xl/tables/table4.xml><?xml version="1.0" encoding="utf-8"?>
<table xmlns="http://schemas.openxmlformats.org/spreadsheetml/2006/main" ref="A2:K12" displayName="Tabla_4" name="Tabla_4" id="4">
  <tableColumns count="11">
    <tableColumn name="Código" id="1"/>
    <tableColumn name="Producto / Descripción" id="2"/>
    <tableColumn name="Tamaño" id="3"/>
    <tableColumn name="Unidad de Compra" id="4"/>
    <tableColumn name="Cantidad" id="5"/>
    <tableColumn name="Unidad Real" id="6"/>
    <tableColumn name="Total Unidades Reales" id="7"/>
    <tableColumn name="Precio Unitario (COP)" id="8"/>
    <tableColumn name="Costo Total (COP)" id="9"/>
    <tableColumn name="Costo por Unidad Real (COP)" id="10"/>
    <tableColumn name="Fecha de Compra" id="11"/>
  </tableColumns>
  <tableStyleInfo name="Siropes_Bases-style" showColumnStripes="0" showFirstColumn="1" showLastColumn="1" showRowStripes="1"/>
</table>
</file>

<file path=xl/tables/table5.xml><?xml version="1.0" encoding="utf-8"?>
<table xmlns="http://schemas.openxmlformats.org/spreadsheetml/2006/main" ref="A2:H5" displayName="Tabla_5" name="Tabla_5" id="5">
  <tableColumns count="8">
    <tableColumn name="Código" id="1"/>
    <tableColumn name="Producto / Descripción" id="2"/>
    <tableColumn name="Tamaño" id="3"/>
    <tableColumn name="Unidad de Compra" id="4"/>
    <tableColumn name="Cantidad" id="5"/>
    <tableColumn name="Unidad Real" id="6"/>
    <tableColumn name="Total Unidades Reales (ml)" id="7"/>
    <tableColumn name="Precio Unitario (COP)" id="8"/>
  </tableColumns>
  <tableStyleInfo name="Lacteos-style" showColumnStripes="0" showFirstColumn="1" showLastColumn="1" showRowStripes="1"/>
</table>
</file>

<file path=xl/tables/table6.xml><?xml version="1.0" encoding="utf-8"?>
<table xmlns="http://schemas.openxmlformats.org/spreadsheetml/2006/main" ref="A2:J34" displayName="Tabla_6" name="Tabla_6" id="6">
  <tableColumns count="10">
    <tableColumn name="Código" id="1"/>
    <tableColumn name="Producto / Descripción" id="2"/>
    <tableColumn name="Tamaño" id="3"/>
    <tableColumn name="Unidad de Compra" id="4"/>
    <tableColumn name="Cantidad" id="5"/>
    <tableColumn name="Unidad Real" id="6"/>
    <tableColumn name="Total Unidades Reales" id="7"/>
    <tableColumn name="Precio Unitario (COP)" id="8"/>
    <tableColumn name="Costo Total (COP)" id="9"/>
    <tableColumn name="Fecha de Compra" id="10"/>
  </tableColumns>
  <tableStyleInfo name="Activos-style" showColumnStripes="0" showFirstColumn="1" showLastColumn="1" showRowStripes="1"/>
</table>
</file>

<file path=xl/tables/table7.xml><?xml version="1.0" encoding="utf-8"?>
<table xmlns="http://schemas.openxmlformats.org/spreadsheetml/2006/main" ref="A2:H12" displayName="Tabla_7" name="Tabla_7" id="7">
  <tableColumns count="8">
    <tableColumn name="Código" id="1"/>
    <tableColumn name="Producto / Descripción" id="2"/>
    <tableColumn name="Tamaño" id="3"/>
    <tableColumn name="Unidad de Compra" id="4"/>
    <tableColumn name="Cantidad" id="5"/>
    <tableColumn name="Unidad Real" id="6"/>
    <tableColumn name="Total Unidades Reales" id="7"/>
    <tableColumn name="Precio Unitario (COP)" id="8"/>
  </tableColumns>
  <tableStyleInfo name="Limpieza-style" showColumnStripes="0" showFirstColumn="1" showLastColumn="1" showRowStripes="1"/>
</table>
</file>

<file path=xl/tables/table8.xml><?xml version="1.0" encoding="utf-8"?>
<table xmlns="http://schemas.openxmlformats.org/spreadsheetml/2006/main" ref="A2:K8" displayName="Tabla_8" name="Tabla_8" id="8">
  <tableColumns count="11">
    <tableColumn name="Código" id="1"/>
    <tableColumn name="Producto / Descripción" id="2"/>
    <tableColumn name="Tamaño" id="3"/>
    <tableColumn name="Unidad de Compra" id="4"/>
    <tableColumn name="Cantidad" id="5"/>
    <tableColumn name="Unidad Real" id="6"/>
    <tableColumn name="Total Unidades Reales" id="7"/>
    <tableColumn name="Precio Unitario (COP)" id="8"/>
    <tableColumn name="Costo Total (COP)" id="9"/>
    <tableColumn name="Costo por Unidad Real (COP)" id="10"/>
    <tableColumn name="Fecha de Compra" id="11"/>
  </tableColumns>
  <tableStyleInfo name="Insumos_Cafe-style" showColumnStripes="0" showFirstColumn="1" showLastColumn="1" showRowStripes="1"/>
</table>
</file>

<file path=xl/tables/table9.xml><?xml version="1.0" encoding="utf-8"?>
<table xmlns="http://schemas.openxmlformats.org/spreadsheetml/2006/main" ref="A2:J10" displayName="Tabla_10" name="Tabla_10" id="9">
  <tableColumns count="10">
    <tableColumn name="Código" id="1"/>
    <tableColumn name="Producto / Descripción" id="2"/>
    <tableColumn name="Tamaño" id="3"/>
    <tableColumn name="Unidad de Compra" id="4"/>
    <tableColumn name="Cant. de Paquetes" id="5"/>
    <tableColumn name="Unidades por Paquete" id="6"/>
    <tableColumn name="Total Unidades" id="7"/>
    <tableColumn name="Precio Paquete (COP)" id="8"/>
    <tableColumn name="Costo Total (COP)" id="9"/>
    <tableColumn name="Costo por Unidad (COP)" id="10"/>
  </tableColumns>
  <tableStyleInfo name="Desechab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5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6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7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8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0"/>
    <col customWidth="1" min="2" max="2" width="18.0"/>
    <col customWidth="1" min="3" max="3" width="20.0"/>
    <col customWidth="1" min="4" max="4" width="15.0"/>
    <col customWidth="1" min="5" max="26" width="8.86"/>
  </cols>
  <sheetData>
    <row r="1">
      <c r="A1" s="1" t="s">
        <v>0</v>
      </c>
      <c r="B1" s="2"/>
      <c r="C1" s="2"/>
      <c r="D1" s="3"/>
    </row>
    <row r="3">
      <c r="A3" s="4" t="s">
        <v>1</v>
      </c>
      <c r="B3" s="4" t="s">
        <v>2</v>
      </c>
      <c r="C3" s="4" t="s">
        <v>3</v>
      </c>
      <c r="D3" s="4" t="s">
        <v>4</v>
      </c>
    </row>
    <row r="4">
      <c r="A4" s="5" t="s">
        <v>5</v>
      </c>
      <c r="B4" s="6"/>
      <c r="C4" s="7"/>
      <c r="D4" s="8"/>
    </row>
    <row r="5">
      <c r="A5" s="5" t="s">
        <v>6</v>
      </c>
      <c r="B5" s="6"/>
      <c r="C5" s="7"/>
      <c r="D5" s="8"/>
    </row>
    <row r="6">
      <c r="A6" s="5" t="s">
        <v>7</v>
      </c>
      <c r="B6" s="6"/>
      <c r="C6" s="7"/>
      <c r="D6" s="8"/>
    </row>
    <row r="7">
      <c r="A7" s="5" t="s">
        <v>8</v>
      </c>
      <c r="B7" s="6"/>
      <c r="C7" s="7"/>
      <c r="D7" s="8"/>
    </row>
    <row r="8">
      <c r="A8" s="5" t="s">
        <v>9</v>
      </c>
      <c r="B8" s="6"/>
      <c r="C8" s="7"/>
      <c r="D8" s="8"/>
    </row>
    <row r="9">
      <c r="A9" s="5" t="s">
        <v>10</v>
      </c>
      <c r="B9" s="6"/>
      <c r="C9" s="7"/>
      <c r="D9" s="8"/>
    </row>
    <row r="10">
      <c r="A10" s="5" t="s">
        <v>11</v>
      </c>
      <c r="B10" s="6"/>
      <c r="C10" s="7"/>
      <c r="D10" s="8"/>
    </row>
    <row r="11">
      <c r="A11" s="5" t="s">
        <v>12</v>
      </c>
      <c r="B11" s="6"/>
      <c r="C11" s="7"/>
      <c r="D11" s="8"/>
    </row>
    <row r="12">
      <c r="A12" s="5" t="s">
        <v>13</v>
      </c>
      <c r="B12" s="6"/>
      <c r="C12" s="7"/>
      <c r="D12" s="8"/>
    </row>
    <row r="13">
      <c r="A13" s="5" t="s">
        <v>14</v>
      </c>
      <c r="B13" s="6"/>
      <c r="C13" s="7"/>
      <c r="D13" s="8"/>
    </row>
    <row r="14">
      <c r="A14" s="5" t="s">
        <v>15</v>
      </c>
      <c r="B14" s="6"/>
      <c r="C14" s="7"/>
      <c r="D14" s="8"/>
    </row>
    <row r="16">
      <c r="A16" s="5"/>
      <c r="B16" s="5"/>
      <c r="C16" s="5"/>
      <c r="D16" s="5"/>
    </row>
    <row r="17">
      <c r="A17" s="9" t="s">
        <v>16</v>
      </c>
      <c r="B17" s="10"/>
      <c r="C17" s="11"/>
      <c r="D17" s="1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" t="s">
        <v>17</v>
      </c>
      <c r="B1" s="13" t="s">
        <v>18</v>
      </c>
      <c r="C1" s="13" t="s">
        <v>19</v>
      </c>
      <c r="D1" s="13" t="s">
        <v>20</v>
      </c>
      <c r="E1" s="13" t="s">
        <v>21</v>
      </c>
      <c r="F1" s="13" t="s">
        <v>22</v>
      </c>
      <c r="G1" s="13" t="s">
        <v>3</v>
      </c>
      <c r="H1" s="13" t="s">
        <v>23</v>
      </c>
      <c r="I1" s="13" t="s">
        <v>24</v>
      </c>
    </row>
    <row r="2">
      <c r="A2" s="14" t="s">
        <v>25</v>
      </c>
      <c r="B2" s="14" t="s">
        <v>26</v>
      </c>
      <c r="C2" s="14" t="s">
        <v>27</v>
      </c>
      <c r="D2" s="14" t="s">
        <v>28</v>
      </c>
      <c r="E2" s="14">
        <v>1.0</v>
      </c>
      <c r="F2" s="15">
        <v>18590.0</v>
      </c>
      <c r="G2" s="15">
        <v>18590.0</v>
      </c>
      <c r="H2" s="14" t="s">
        <v>29</v>
      </c>
      <c r="I2" s="16">
        <v>46025.0</v>
      </c>
    </row>
    <row r="3">
      <c r="A3" s="17" t="s">
        <v>30</v>
      </c>
      <c r="B3" s="17" t="s">
        <v>31</v>
      </c>
      <c r="C3" s="17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2" width="16.43"/>
    <col customWidth="1" min="3" max="3" width="23.71"/>
    <col customWidth="1" min="4" max="5" width="15.0"/>
    <col customWidth="1" min="6" max="6" width="19.57"/>
    <col customWidth="1" min="7" max="7" width="15.0"/>
    <col customWidth="1" min="8" max="8" width="20.14"/>
    <col customWidth="1" min="9" max="9" width="17.71"/>
    <col customWidth="1" min="10" max="10" width="22.29"/>
    <col customWidth="1" min="11" max="11" width="15.43"/>
    <col customWidth="1" min="12" max="12" width="17.71"/>
    <col customWidth="1" min="13" max="13" width="28.29"/>
    <col customWidth="1" min="14" max="14" width="28.0"/>
    <col customWidth="1" min="15" max="15" width="23.43"/>
    <col customWidth="1" min="16" max="27" width="8.86"/>
  </cols>
  <sheetData>
    <row r="1">
      <c r="A1" s="18" t="s">
        <v>32</v>
      </c>
      <c r="B1" s="2"/>
      <c r="C1" s="2"/>
      <c r="D1" s="2"/>
      <c r="E1" s="2"/>
      <c r="F1" s="2"/>
      <c r="G1" s="3"/>
    </row>
    <row r="2" ht="22.5" customHeight="1">
      <c r="A2" s="19" t="s">
        <v>17</v>
      </c>
      <c r="B2" s="19" t="s">
        <v>33</v>
      </c>
      <c r="C2" s="19" t="s">
        <v>34</v>
      </c>
      <c r="D2" s="19" t="s">
        <v>20</v>
      </c>
      <c r="E2" s="19" t="s">
        <v>21</v>
      </c>
      <c r="F2" s="19" t="s">
        <v>35</v>
      </c>
      <c r="G2" s="19" t="s">
        <v>36</v>
      </c>
      <c r="H2" s="19" t="s">
        <v>22</v>
      </c>
      <c r="I2" s="13" t="s">
        <v>3</v>
      </c>
      <c r="J2" s="13" t="s">
        <v>37</v>
      </c>
      <c r="K2" s="13" t="s">
        <v>38</v>
      </c>
      <c r="L2" s="13" t="s">
        <v>23</v>
      </c>
    </row>
    <row r="3" ht="22.5" customHeight="1">
      <c r="A3" s="20" t="s">
        <v>39</v>
      </c>
      <c r="B3" s="20" t="s">
        <v>40</v>
      </c>
      <c r="C3" s="21" t="s">
        <v>41</v>
      </c>
      <c r="D3" s="20" t="s">
        <v>42</v>
      </c>
      <c r="E3" s="21">
        <v>82.0</v>
      </c>
      <c r="F3" s="22" t="s">
        <v>43</v>
      </c>
      <c r="G3" s="23" t="s">
        <v>44</v>
      </c>
      <c r="H3" s="24">
        <v>2666.67</v>
      </c>
      <c r="I3" s="25">
        <v>218666.67</v>
      </c>
      <c r="J3" s="14" t="s">
        <v>45</v>
      </c>
      <c r="K3" s="26">
        <v>46020.0</v>
      </c>
      <c r="L3" s="14" t="s">
        <v>46</v>
      </c>
    </row>
    <row r="4" ht="22.5" customHeight="1">
      <c r="A4" s="20" t="s">
        <v>47</v>
      </c>
      <c r="B4" s="20" t="s">
        <v>48</v>
      </c>
      <c r="C4" s="21" t="s">
        <v>49</v>
      </c>
      <c r="D4" s="20" t="s">
        <v>50</v>
      </c>
      <c r="E4" s="21">
        <v>24.0</v>
      </c>
      <c r="F4" s="22" t="s">
        <v>43</v>
      </c>
      <c r="G4" s="23" t="s">
        <v>51</v>
      </c>
      <c r="H4" s="24">
        <v>3333.33</v>
      </c>
      <c r="I4" s="25">
        <v>80000.0</v>
      </c>
      <c r="J4" s="14" t="s">
        <v>52</v>
      </c>
      <c r="K4" s="26">
        <v>46020.0</v>
      </c>
      <c r="L4" s="14" t="s">
        <v>46</v>
      </c>
    </row>
    <row r="5" ht="22.5" customHeight="1">
      <c r="A5" s="20" t="s">
        <v>53</v>
      </c>
      <c r="B5" s="20" t="s">
        <v>54</v>
      </c>
      <c r="C5" s="21" t="s">
        <v>41</v>
      </c>
      <c r="D5" s="20" t="s">
        <v>42</v>
      </c>
      <c r="E5" s="21">
        <v>6.0</v>
      </c>
      <c r="F5" s="22" t="s">
        <v>43</v>
      </c>
      <c r="G5" s="23" t="s">
        <v>55</v>
      </c>
      <c r="H5" s="24">
        <v>3500.0</v>
      </c>
      <c r="I5" s="25">
        <v>21000.0</v>
      </c>
      <c r="J5" s="14" t="s">
        <v>56</v>
      </c>
      <c r="K5" s="26">
        <v>46020.0</v>
      </c>
      <c r="L5" s="14" t="s">
        <v>46</v>
      </c>
    </row>
    <row r="6" ht="22.5" customHeight="1">
      <c r="A6" s="20" t="s">
        <v>57</v>
      </c>
      <c r="B6" s="20" t="s">
        <v>58</v>
      </c>
      <c r="C6" s="21" t="s">
        <v>49</v>
      </c>
      <c r="D6" s="20" t="s">
        <v>50</v>
      </c>
      <c r="E6" s="21">
        <v>3.0</v>
      </c>
      <c r="F6" s="22" t="s">
        <v>43</v>
      </c>
      <c r="G6" s="23" t="s">
        <v>59</v>
      </c>
      <c r="H6" s="24">
        <v>4000.0</v>
      </c>
      <c r="I6" s="25">
        <v>12000.0</v>
      </c>
      <c r="J6" s="14" t="s">
        <v>60</v>
      </c>
      <c r="K6" s="26">
        <v>46020.0</v>
      </c>
      <c r="L6" s="14" t="s">
        <v>46</v>
      </c>
    </row>
    <row r="7" ht="22.5" customHeight="1">
      <c r="A7" s="20" t="s">
        <v>61</v>
      </c>
      <c r="B7" s="20" t="s">
        <v>62</v>
      </c>
      <c r="C7" s="21" t="s">
        <v>41</v>
      </c>
      <c r="D7" s="20" t="s">
        <v>42</v>
      </c>
      <c r="E7" s="21">
        <v>2.0</v>
      </c>
      <c r="F7" s="22" t="s">
        <v>43</v>
      </c>
      <c r="G7" s="23" t="s">
        <v>63</v>
      </c>
      <c r="H7" s="24">
        <v>3648.33</v>
      </c>
      <c r="I7" s="25">
        <v>7296.67</v>
      </c>
      <c r="J7" s="14" t="s">
        <v>64</v>
      </c>
      <c r="K7" s="26">
        <v>46020.0</v>
      </c>
      <c r="L7" s="14" t="s">
        <v>46</v>
      </c>
    </row>
    <row r="8" ht="22.5" customHeight="1">
      <c r="A8" s="20" t="s">
        <v>65</v>
      </c>
      <c r="B8" s="20" t="s">
        <v>66</v>
      </c>
      <c r="C8" s="21" t="s">
        <v>49</v>
      </c>
      <c r="D8" s="20" t="s">
        <v>42</v>
      </c>
      <c r="E8" s="21">
        <v>2.0</v>
      </c>
      <c r="F8" s="22" t="s">
        <v>43</v>
      </c>
      <c r="G8" s="23" t="s">
        <v>67</v>
      </c>
      <c r="H8" s="24">
        <v>15000.0</v>
      </c>
      <c r="I8" s="25">
        <v>30000.0</v>
      </c>
      <c r="J8" s="14" t="s">
        <v>68</v>
      </c>
      <c r="K8" s="26">
        <v>46020.0</v>
      </c>
      <c r="L8" s="14" t="s">
        <v>46</v>
      </c>
    </row>
    <row r="9" ht="22.5" customHeight="1">
      <c r="A9" s="27"/>
      <c r="B9" s="27"/>
      <c r="C9" s="28"/>
      <c r="D9" s="29"/>
      <c r="E9" s="30"/>
      <c r="F9" s="31"/>
      <c r="G9" s="32"/>
      <c r="H9" s="29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1">
    <mergeCell ref="A1:G1"/>
  </mergeCells>
  <dataValidations>
    <dataValidation type="custom" allowBlank="1" showDropDown="1" sqref="C3:C9 E3:G9">
      <formula1>AND(ISNUMBER(C3),(NOT(OR(NOT(ISERROR(DATEVALUE(C3))), AND(ISNUMBER(C3), LEFT(CELL("format", C3))="D")))))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24.57"/>
    <col customWidth="1" min="3" max="3" width="22.29"/>
    <col customWidth="1" min="4" max="4" width="15.43"/>
    <col customWidth="1" min="5" max="5" width="17.71"/>
    <col customWidth="1" min="6" max="7" width="24.57"/>
    <col customWidth="1" min="8" max="8" width="23.43"/>
    <col customWidth="1" min="9" max="9" width="8.86"/>
    <col customWidth="1" min="10" max="10" width="24.43"/>
    <col customWidth="1" min="11" max="11" width="22.71"/>
    <col customWidth="1" min="12" max="12" width="20.29"/>
    <col customWidth="1" min="13" max="27" width="8.86"/>
  </cols>
  <sheetData>
    <row r="1" ht="22.5" customHeight="1">
      <c r="A1" s="33" t="s">
        <v>17</v>
      </c>
      <c r="B1" s="33" t="s">
        <v>18</v>
      </c>
      <c r="C1" s="33" t="s">
        <v>69</v>
      </c>
      <c r="D1" s="33" t="s">
        <v>20</v>
      </c>
      <c r="E1" s="33" t="s">
        <v>21</v>
      </c>
      <c r="F1" s="33" t="s">
        <v>35</v>
      </c>
      <c r="G1" s="33" t="s">
        <v>36</v>
      </c>
      <c r="H1" s="33" t="s">
        <v>22</v>
      </c>
      <c r="I1" s="34" t="s">
        <v>3</v>
      </c>
      <c r="J1" s="34" t="s">
        <v>37</v>
      </c>
      <c r="K1" s="34" t="s">
        <v>38</v>
      </c>
      <c r="L1" s="34" t="s">
        <v>23</v>
      </c>
    </row>
    <row r="2" ht="22.5" customHeight="1">
      <c r="A2" s="20" t="s">
        <v>70</v>
      </c>
      <c r="B2" s="20" t="s">
        <v>71</v>
      </c>
      <c r="C2" s="35" t="s">
        <v>72</v>
      </c>
      <c r="D2" s="20" t="s">
        <v>73</v>
      </c>
      <c r="E2" s="35">
        <v>1.0</v>
      </c>
      <c r="F2" s="24" t="s">
        <v>43</v>
      </c>
      <c r="G2" s="36" t="s">
        <v>72</v>
      </c>
      <c r="H2" s="37">
        <v>81500.0</v>
      </c>
      <c r="I2" s="36">
        <v>81500.0</v>
      </c>
      <c r="J2" s="20" t="s">
        <v>74</v>
      </c>
      <c r="K2" s="38">
        <v>46020.0</v>
      </c>
      <c r="L2" s="20" t="s">
        <v>75</v>
      </c>
    </row>
    <row r="3" ht="22.5" customHeight="1">
      <c r="A3" s="20" t="s">
        <v>70</v>
      </c>
      <c r="B3" s="20" t="s">
        <v>76</v>
      </c>
      <c r="C3" s="35" t="s">
        <v>77</v>
      </c>
      <c r="D3" s="20" t="s">
        <v>73</v>
      </c>
      <c r="E3" s="35">
        <v>1.0</v>
      </c>
      <c r="F3" s="24" t="s">
        <v>43</v>
      </c>
      <c r="G3" s="36" t="s">
        <v>77</v>
      </c>
      <c r="H3" s="37">
        <v>121900.0</v>
      </c>
      <c r="I3" s="36">
        <v>121900.0</v>
      </c>
      <c r="J3" s="20" t="s">
        <v>78</v>
      </c>
      <c r="K3" s="38">
        <v>46020.0</v>
      </c>
      <c r="L3" s="20" t="s">
        <v>79</v>
      </c>
    </row>
    <row r="4" ht="22.5" customHeight="1">
      <c r="A4" s="20" t="s">
        <v>70</v>
      </c>
      <c r="B4" s="20" t="s">
        <v>80</v>
      </c>
      <c r="C4" s="35" t="s">
        <v>72</v>
      </c>
      <c r="D4" s="20" t="s">
        <v>73</v>
      </c>
      <c r="E4" s="35">
        <v>1.0</v>
      </c>
      <c r="F4" s="24" t="s">
        <v>43</v>
      </c>
      <c r="G4" s="36" t="s">
        <v>72</v>
      </c>
      <c r="H4" s="37">
        <v>78600.0</v>
      </c>
      <c r="I4" s="36">
        <v>78600.0</v>
      </c>
      <c r="J4" s="20" t="s">
        <v>81</v>
      </c>
      <c r="K4" s="38">
        <v>46020.0</v>
      </c>
      <c r="L4" s="20" t="s">
        <v>82</v>
      </c>
    </row>
    <row r="5" ht="22.5" customHeight="1">
      <c r="A5" s="20" t="s">
        <v>70</v>
      </c>
      <c r="B5" s="20" t="s">
        <v>83</v>
      </c>
      <c r="C5" s="35" t="s">
        <v>72</v>
      </c>
      <c r="D5" s="20" t="s">
        <v>73</v>
      </c>
      <c r="E5" s="35">
        <v>1.0</v>
      </c>
      <c r="F5" s="24" t="s">
        <v>43</v>
      </c>
      <c r="G5" s="36" t="s">
        <v>72</v>
      </c>
      <c r="H5" s="37">
        <v>48000.0</v>
      </c>
      <c r="I5" s="36">
        <v>48000.0</v>
      </c>
      <c r="J5" s="20" t="s">
        <v>84</v>
      </c>
      <c r="K5" s="38">
        <v>46020.0</v>
      </c>
      <c r="L5" s="20" t="s">
        <v>85</v>
      </c>
    </row>
    <row r="6" ht="22.5" customHeight="1">
      <c r="A6" s="20" t="s">
        <v>70</v>
      </c>
      <c r="B6" s="20" t="s">
        <v>86</v>
      </c>
      <c r="C6" s="35" t="s">
        <v>77</v>
      </c>
      <c r="D6" s="20" t="s">
        <v>73</v>
      </c>
      <c r="E6" s="35">
        <v>1.0</v>
      </c>
      <c r="F6" s="24" t="s">
        <v>43</v>
      </c>
      <c r="G6" s="36" t="s">
        <v>77</v>
      </c>
      <c r="H6" s="37">
        <v>58800.0</v>
      </c>
      <c r="I6" s="36">
        <v>58800.0</v>
      </c>
      <c r="J6" s="20" t="s">
        <v>87</v>
      </c>
      <c r="K6" s="38">
        <v>46020.0</v>
      </c>
      <c r="L6" s="20" t="s">
        <v>88</v>
      </c>
    </row>
    <row r="7" ht="22.5" customHeight="1">
      <c r="A7" s="20" t="s">
        <v>70</v>
      </c>
      <c r="B7" s="20" t="s">
        <v>89</v>
      </c>
      <c r="C7" s="35" t="s">
        <v>77</v>
      </c>
      <c r="D7" s="20" t="s">
        <v>73</v>
      </c>
      <c r="E7" s="35">
        <v>2.0</v>
      </c>
      <c r="F7" s="24" t="s">
        <v>43</v>
      </c>
      <c r="G7" s="36" t="s">
        <v>90</v>
      </c>
      <c r="H7" s="37">
        <v>22900.0</v>
      </c>
      <c r="I7" s="36">
        <v>45800.0</v>
      </c>
      <c r="J7" s="20" t="s">
        <v>91</v>
      </c>
      <c r="K7" s="38">
        <v>46020.0</v>
      </c>
      <c r="L7" s="20" t="s">
        <v>92</v>
      </c>
    </row>
    <row r="8" ht="22.5" customHeight="1">
      <c r="A8" s="20" t="s">
        <v>70</v>
      </c>
      <c r="B8" s="20" t="s">
        <v>93</v>
      </c>
      <c r="C8" s="35" t="s">
        <v>72</v>
      </c>
      <c r="D8" s="20" t="s">
        <v>73</v>
      </c>
      <c r="E8" s="35">
        <v>2.0</v>
      </c>
      <c r="F8" s="24" t="s">
        <v>43</v>
      </c>
      <c r="G8" s="36" t="s">
        <v>94</v>
      </c>
      <c r="H8" s="37">
        <v>54750.0</v>
      </c>
      <c r="I8" s="36">
        <v>109500.0</v>
      </c>
      <c r="J8" s="20" t="s">
        <v>95</v>
      </c>
      <c r="K8" s="38">
        <v>46020.0</v>
      </c>
      <c r="L8" s="20" t="s">
        <v>96</v>
      </c>
    </row>
    <row r="9" ht="22.5" customHeight="1">
      <c r="A9" s="20" t="s">
        <v>70</v>
      </c>
      <c r="B9" s="20" t="s">
        <v>97</v>
      </c>
      <c r="C9" s="35" t="s">
        <v>77</v>
      </c>
      <c r="D9" s="20" t="s">
        <v>73</v>
      </c>
      <c r="E9" s="35">
        <v>1.0</v>
      </c>
      <c r="F9" s="24" t="s">
        <v>43</v>
      </c>
      <c r="G9" s="36" t="s">
        <v>77</v>
      </c>
      <c r="H9" s="37">
        <v>20000.0</v>
      </c>
      <c r="I9" s="36">
        <v>20000.0</v>
      </c>
      <c r="J9" s="20" t="s">
        <v>98</v>
      </c>
      <c r="K9" s="38">
        <v>46020.0</v>
      </c>
      <c r="L9" s="20" t="s">
        <v>99</v>
      </c>
    </row>
    <row r="10" ht="22.5" customHeight="1">
      <c r="A10" s="20" t="s">
        <v>70</v>
      </c>
      <c r="B10" s="20" t="s">
        <v>100</v>
      </c>
      <c r="C10" s="35" t="s">
        <v>77</v>
      </c>
      <c r="D10" s="20" t="s">
        <v>73</v>
      </c>
      <c r="E10" s="35">
        <v>2.0</v>
      </c>
      <c r="F10" s="24" t="s">
        <v>43</v>
      </c>
      <c r="G10" s="36" t="s">
        <v>90</v>
      </c>
      <c r="H10" s="37">
        <v>66900.0</v>
      </c>
      <c r="I10" s="36">
        <v>133800.0</v>
      </c>
      <c r="J10" s="20" t="s">
        <v>101</v>
      </c>
      <c r="K10" s="38">
        <v>46020.0</v>
      </c>
      <c r="L10" s="20" t="s">
        <v>102</v>
      </c>
    </row>
    <row r="11" ht="22.5" customHeight="1">
      <c r="A11" s="27">
        <v>12.0</v>
      </c>
      <c r="B11" s="27" t="s">
        <v>103</v>
      </c>
      <c r="C11" s="39">
        <v>697900.0</v>
      </c>
      <c r="D11" s="40"/>
      <c r="E11" s="41" t="s">
        <v>104</v>
      </c>
      <c r="F11" s="42" t="s">
        <v>105</v>
      </c>
      <c r="G11" s="42" t="s">
        <v>106</v>
      </c>
      <c r="H11" s="40"/>
      <c r="I11" s="43"/>
      <c r="J11" s="43"/>
      <c r="K11" s="43"/>
      <c r="L11" s="43"/>
    </row>
    <row r="12">
      <c r="G12" s="44"/>
    </row>
    <row r="13">
      <c r="A13" s="45"/>
    </row>
    <row r="14">
      <c r="A14" s="46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dataValidations>
    <dataValidation type="list" allowBlank="1" sqref="E2:E11">
      <formula1>"1,1,1,1,1,2,2,1,2,**12**"</formula1>
    </dataValidation>
    <dataValidation type="list" allowBlank="1" sqref="C2:C11">
      <formula1>"700,750,700,700,750,750,700,750,750"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43"/>
    <col customWidth="1" min="2" max="2" width="24.57"/>
    <col customWidth="1" min="3" max="3" width="22.29"/>
    <col customWidth="1" min="4" max="4" width="15.43"/>
    <col customWidth="1" min="5" max="5" width="17.71"/>
    <col customWidth="1" min="6" max="7" width="24.57"/>
    <col customWidth="1" min="8" max="8" width="23.43"/>
    <col customWidth="1" min="9" max="9" width="19.57"/>
    <col customWidth="1" min="10" max="10" width="15.0"/>
    <col customWidth="1" min="11" max="12" width="20.29"/>
    <col customWidth="1" min="13" max="30" width="8.86"/>
  </cols>
  <sheetData>
    <row r="1" ht="22.5" customHeight="1">
      <c r="A1" s="33" t="s">
        <v>17</v>
      </c>
      <c r="B1" s="33" t="s">
        <v>33</v>
      </c>
      <c r="C1" s="33" t="s">
        <v>69</v>
      </c>
      <c r="D1" s="33" t="s">
        <v>20</v>
      </c>
      <c r="E1" s="33" t="s">
        <v>107</v>
      </c>
      <c r="F1" s="33" t="s">
        <v>35</v>
      </c>
      <c r="G1" s="33" t="s">
        <v>36</v>
      </c>
      <c r="H1" s="33" t="s">
        <v>108</v>
      </c>
      <c r="I1" s="34" t="s">
        <v>109</v>
      </c>
      <c r="J1" s="34" t="s">
        <v>37</v>
      </c>
      <c r="K1" s="34" t="s">
        <v>38</v>
      </c>
      <c r="L1" s="34" t="s">
        <v>23</v>
      </c>
    </row>
    <row r="2" ht="22.5" customHeight="1">
      <c r="A2" s="20" t="s">
        <v>110</v>
      </c>
      <c r="B2" s="20" t="s">
        <v>111</v>
      </c>
      <c r="C2" s="21" t="s">
        <v>77</v>
      </c>
      <c r="D2" s="20" t="s">
        <v>73</v>
      </c>
      <c r="E2" s="20">
        <v>1.0</v>
      </c>
      <c r="F2" s="24" t="s">
        <v>43</v>
      </c>
      <c r="G2" s="47" t="s">
        <v>77</v>
      </c>
      <c r="H2" s="37">
        <v>51900.0</v>
      </c>
      <c r="I2" s="36">
        <v>51900.0</v>
      </c>
      <c r="J2" s="20" t="s">
        <v>112</v>
      </c>
      <c r="K2" s="48">
        <v>45992.0</v>
      </c>
      <c r="L2" s="20" t="s">
        <v>113</v>
      </c>
    </row>
    <row r="3" ht="22.5" customHeight="1">
      <c r="A3" s="20" t="s">
        <v>114</v>
      </c>
      <c r="B3" s="20" t="s">
        <v>115</v>
      </c>
      <c r="C3" s="21" t="s">
        <v>77</v>
      </c>
      <c r="D3" s="20" t="s">
        <v>73</v>
      </c>
      <c r="E3" s="20">
        <v>0.4</v>
      </c>
      <c r="F3" s="24" t="s">
        <v>43</v>
      </c>
      <c r="G3" s="47" t="s">
        <v>116</v>
      </c>
      <c r="H3" s="37">
        <v>240000.0</v>
      </c>
      <c r="I3" s="49">
        <v>96000.0</v>
      </c>
      <c r="J3" s="50" t="s">
        <v>117</v>
      </c>
      <c r="K3" s="48">
        <v>45992.0</v>
      </c>
      <c r="L3" s="20" t="s">
        <v>118</v>
      </c>
    </row>
    <row r="4" ht="22.5" customHeight="1">
      <c r="A4" s="20" t="s">
        <v>119</v>
      </c>
      <c r="B4" s="20" t="s">
        <v>120</v>
      </c>
      <c r="C4" s="21" t="s">
        <v>121</v>
      </c>
      <c r="D4" s="20" t="s">
        <v>73</v>
      </c>
      <c r="E4" s="20">
        <v>0.3</v>
      </c>
      <c r="F4" s="24" t="s">
        <v>43</v>
      </c>
      <c r="G4" s="47" t="s">
        <v>122</v>
      </c>
      <c r="H4" s="37">
        <v>10000.0</v>
      </c>
      <c r="I4" s="49">
        <v>3000.0</v>
      </c>
      <c r="J4" s="50" t="s">
        <v>98</v>
      </c>
      <c r="K4" s="48">
        <v>45992.0</v>
      </c>
      <c r="L4" s="20" t="s">
        <v>123</v>
      </c>
    </row>
    <row r="5" ht="22.5" customHeight="1">
      <c r="A5" s="20" t="s">
        <v>124</v>
      </c>
      <c r="B5" s="20" t="s">
        <v>125</v>
      </c>
      <c r="C5" s="21" t="s">
        <v>126</v>
      </c>
      <c r="D5" s="20" t="s">
        <v>73</v>
      </c>
      <c r="E5" s="20">
        <v>0.3</v>
      </c>
      <c r="F5" s="24" t="s">
        <v>43</v>
      </c>
      <c r="G5" s="47" t="s">
        <v>127</v>
      </c>
      <c r="H5" s="37">
        <v>180000.0</v>
      </c>
      <c r="I5" s="49">
        <v>54000.0</v>
      </c>
      <c r="J5" s="50" t="s">
        <v>128</v>
      </c>
      <c r="K5" s="48">
        <v>45992.0</v>
      </c>
      <c r="L5" s="20" t="s">
        <v>123</v>
      </c>
    </row>
    <row r="6" ht="22.5" customHeight="1">
      <c r="A6" s="20" t="s">
        <v>129</v>
      </c>
      <c r="B6" s="20" t="s">
        <v>130</v>
      </c>
      <c r="C6" s="21" t="s">
        <v>121</v>
      </c>
      <c r="D6" s="20" t="s">
        <v>73</v>
      </c>
      <c r="E6" s="20">
        <v>0.15</v>
      </c>
      <c r="F6" s="24" t="s">
        <v>43</v>
      </c>
      <c r="G6" s="47" t="s">
        <v>131</v>
      </c>
      <c r="H6" s="37">
        <v>15000.0</v>
      </c>
      <c r="I6" s="49">
        <v>2250.0</v>
      </c>
      <c r="J6" s="50" t="s">
        <v>132</v>
      </c>
      <c r="K6" s="48">
        <v>45992.0</v>
      </c>
      <c r="L6" s="20" t="s">
        <v>133</v>
      </c>
    </row>
    <row r="7" ht="22.5" customHeight="1">
      <c r="A7" s="20" t="s">
        <v>134</v>
      </c>
      <c r="B7" s="20" t="s">
        <v>135</v>
      </c>
      <c r="C7" s="21" t="s">
        <v>77</v>
      </c>
      <c r="D7" s="20" t="s">
        <v>73</v>
      </c>
      <c r="E7" s="20">
        <v>0.25</v>
      </c>
      <c r="F7" s="24" t="s">
        <v>43</v>
      </c>
      <c r="G7" s="47" t="s">
        <v>136</v>
      </c>
      <c r="H7" s="37">
        <v>110000.0</v>
      </c>
      <c r="I7" s="49">
        <v>27500.0</v>
      </c>
      <c r="J7" s="50" t="s">
        <v>137</v>
      </c>
      <c r="K7" s="48">
        <v>45992.0</v>
      </c>
      <c r="L7" s="20" t="s">
        <v>138</v>
      </c>
    </row>
    <row r="8" ht="22.5" customHeight="1">
      <c r="A8" s="20" t="s">
        <v>139</v>
      </c>
      <c r="B8" s="20" t="s">
        <v>140</v>
      </c>
      <c r="C8" s="21" t="s">
        <v>77</v>
      </c>
      <c r="D8" s="20" t="s">
        <v>73</v>
      </c>
      <c r="E8" s="20">
        <v>0.25</v>
      </c>
      <c r="F8" s="24" t="s">
        <v>43</v>
      </c>
      <c r="G8" s="47" t="s">
        <v>136</v>
      </c>
      <c r="H8" s="37">
        <v>250000.0</v>
      </c>
      <c r="I8" s="49">
        <v>62500.0</v>
      </c>
      <c r="J8" s="50" t="s">
        <v>141</v>
      </c>
      <c r="K8" s="48">
        <v>45992.0</v>
      </c>
      <c r="L8" s="20" t="s">
        <v>138</v>
      </c>
    </row>
    <row r="9" ht="22.5" customHeight="1">
      <c r="A9" s="20" t="s">
        <v>142</v>
      </c>
      <c r="B9" s="20" t="s">
        <v>143</v>
      </c>
      <c r="C9" s="21" t="s">
        <v>77</v>
      </c>
      <c r="D9" s="20" t="s">
        <v>73</v>
      </c>
      <c r="E9" s="27">
        <v>3.0</v>
      </c>
      <c r="F9" s="24" t="s">
        <v>43</v>
      </c>
      <c r="G9" s="47" t="s">
        <v>144</v>
      </c>
      <c r="H9" s="37">
        <v>51900.0</v>
      </c>
      <c r="I9" s="49">
        <v>155700.0</v>
      </c>
      <c r="J9" s="50" t="s">
        <v>112</v>
      </c>
      <c r="K9" s="48">
        <v>45992.0</v>
      </c>
      <c r="L9" s="20" t="s">
        <v>145</v>
      </c>
    </row>
    <row r="10" ht="22.5" customHeight="1">
      <c r="A10" s="27" t="s">
        <v>146</v>
      </c>
      <c r="B10" s="36">
        <v>452850.0</v>
      </c>
      <c r="C10" s="40"/>
      <c r="D10" s="40"/>
      <c r="E10" s="40" t="s">
        <v>147</v>
      </c>
      <c r="F10" s="42" t="s">
        <v>148</v>
      </c>
      <c r="G10" s="42" t="s">
        <v>149</v>
      </c>
      <c r="H10" s="40"/>
      <c r="I10" s="51"/>
      <c r="J10" s="51"/>
      <c r="K10" s="43"/>
      <c r="L10" s="43"/>
    </row>
    <row r="11">
      <c r="J11" s="52"/>
    </row>
    <row r="12">
      <c r="A12" s="45"/>
    </row>
    <row r="13">
      <c r="A13" s="4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C2:C10">
      <formula1>AND(ISNUMBER(C2),(NOT(OR(NOT(ISERROR(DATEVALUE(C2))), AND(ISNUMBER(C2), LEFT(CELL("format", C2))="D")))))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4.57"/>
    <col customWidth="1" min="3" max="3" width="22.29"/>
    <col customWidth="1" min="4" max="4" width="15.43"/>
    <col customWidth="1" min="5" max="5" width="17.71"/>
    <col customWidth="1" min="6" max="7" width="24.57"/>
    <col customWidth="1" min="8" max="8" width="23.43"/>
    <col customWidth="1" min="9" max="26" width="8.86"/>
  </cols>
  <sheetData>
    <row r="1">
      <c r="A1" s="53" t="s">
        <v>150</v>
      </c>
      <c r="B1" s="2"/>
      <c r="C1" s="2"/>
      <c r="D1" s="2"/>
      <c r="E1" s="2"/>
      <c r="F1" s="2"/>
      <c r="G1" s="3"/>
    </row>
    <row r="2" ht="22.5" customHeight="1">
      <c r="A2" s="33" t="s">
        <v>17</v>
      </c>
      <c r="B2" s="33" t="s">
        <v>18</v>
      </c>
      <c r="C2" s="33" t="s">
        <v>19</v>
      </c>
      <c r="D2" s="33" t="s">
        <v>151</v>
      </c>
      <c r="E2" s="33" t="s">
        <v>21</v>
      </c>
      <c r="F2" s="33" t="s">
        <v>35</v>
      </c>
      <c r="G2" s="33" t="s">
        <v>152</v>
      </c>
      <c r="H2" s="19" t="s">
        <v>22</v>
      </c>
      <c r="I2" s="34" t="s">
        <v>153</v>
      </c>
      <c r="J2" s="34" t="s">
        <v>154</v>
      </c>
      <c r="K2" s="34" t="s">
        <v>38</v>
      </c>
    </row>
    <row r="3" ht="22.5" customHeight="1">
      <c r="A3" s="20" t="s">
        <v>155</v>
      </c>
      <c r="B3" s="20" t="s">
        <v>156</v>
      </c>
      <c r="C3" s="20" t="s">
        <v>157</v>
      </c>
      <c r="D3" s="35" t="s">
        <v>73</v>
      </c>
      <c r="E3" s="35">
        <v>1.0</v>
      </c>
      <c r="F3" s="37" t="s">
        <v>43</v>
      </c>
      <c r="G3" s="36" t="s">
        <v>157</v>
      </c>
      <c r="H3" s="37">
        <v>20000.0</v>
      </c>
      <c r="I3" s="36">
        <v>20000.0</v>
      </c>
      <c r="J3" s="27" t="s">
        <v>158</v>
      </c>
      <c r="K3" s="48">
        <v>45992.0</v>
      </c>
    </row>
    <row r="4" ht="22.5" customHeight="1">
      <c r="A4" s="20" t="s">
        <v>159</v>
      </c>
      <c r="B4" s="20" t="s">
        <v>160</v>
      </c>
      <c r="C4" s="20" t="s">
        <v>157</v>
      </c>
      <c r="D4" s="35" t="s">
        <v>73</v>
      </c>
      <c r="E4" s="35">
        <v>1.0</v>
      </c>
      <c r="F4" s="37" t="s">
        <v>43</v>
      </c>
      <c r="G4" s="36" t="s">
        <v>157</v>
      </c>
      <c r="H4" s="37">
        <v>25200.0</v>
      </c>
      <c r="I4" s="36">
        <v>25200.0</v>
      </c>
      <c r="J4" s="27" t="s">
        <v>161</v>
      </c>
      <c r="K4" s="48">
        <v>45992.0</v>
      </c>
    </row>
    <row r="5" ht="22.5" customHeight="1">
      <c r="A5" s="20" t="s">
        <v>162</v>
      </c>
      <c r="B5" s="20" t="s">
        <v>163</v>
      </c>
      <c r="C5" s="20" t="s">
        <v>157</v>
      </c>
      <c r="D5" s="35" t="s">
        <v>73</v>
      </c>
      <c r="E5" s="35">
        <v>1.0</v>
      </c>
      <c r="F5" s="37" t="s">
        <v>43</v>
      </c>
      <c r="G5" s="36" t="s">
        <v>157</v>
      </c>
      <c r="H5" s="37">
        <v>25200.0</v>
      </c>
      <c r="I5" s="36">
        <v>25200.0</v>
      </c>
      <c r="J5" s="27" t="s">
        <v>161</v>
      </c>
      <c r="K5" s="48">
        <v>45992.0</v>
      </c>
    </row>
    <row r="6" ht="22.5" customHeight="1">
      <c r="A6" s="20" t="s">
        <v>164</v>
      </c>
      <c r="B6" s="20" t="s">
        <v>165</v>
      </c>
      <c r="C6" s="20" t="s">
        <v>157</v>
      </c>
      <c r="D6" s="35" t="s">
        <v>73</v>
      </c>
      <c r="E6" s="35">
        <v>1.0</v>
      </c>
      <c r="F6" s="37" t="s">
        <v>43</v>
      </c>
      <c r="G6" s="36" t="s">
        <v>157</v>
      </c>
      <c r="H6" s="37">
        <v>33300.0</v>
      </c>
      <c r="I6" s="36">
        <v>33300.0</v>
      </c>
      <c r="J6" s="27" t="s">
        <v>166</v>
      </c>
      <c r="K6" s="48">
        <v>45992.0</v>
      </c>
    </row>
    <row r="7" ht="22.5" customHeight="1">
      <c r="A7" s="20" t="s">
        <v>167</v>
      </c>
      <c r="B7" s="20" t="s">
        <v>168</v>
      </c>
      <c r="C7" s="20" t="s">
        <v>157</v>
      </c>
      <c r="D7" s="35" t="s">
        <v>73</v>
      </c>
      <c r="E7" s="35">
        <v>1.0</v>
      </c>
      <c r="F7" s="37" t="s">
        <v>43</v>
      </c>
      <c r="G7" s="36" t="s">
        <v>157</v>
      </c>
      <c r="H7" s="37">
        <v>33300.0</v>
      </c>
      <c r="I7" s="36">
        <v>33300.0</v>
      </c>
      <c r="J7" s="27" t="s">
        <v>166</v>
      </c>
      <c r="K7" s="48">
        <v>45992.0</v>
      </c>
    </row>
    <row r="8" ht="22.5" customHeight="1">
      <c r="A8" s="20" t="s">
        <v>169</v>
      </c>
      <c r="B8" s="20" t="s">
        <v>170</v>
      </c>
      <c r="C8" s="20" t="s">
        <v>27</v>
      </c>
      <c r="D8" s="35" t="s">
        <v>171</v>
      </c>
      <c r="E8" s="35">
        <v>1.0</v>
      </c>
      <c r="F8" s="37" t="s">
        <v>20</v>
      </c>
      <c r="G8" s="36" t="s">
        <v>172</v>
      </c>
      <c r="H8" s="37">
        <v>12000.0</v>
      </c>
      <c r="I8" s="36">
        <v>12000.0</v>
      </c>
      <c r="J8" s="27" t="s">
        <v>173</v>
      </c>
      <c r="K8" s="48">
        <v>45992.0</v>
      </c>
    </row>
    <row r="9" ht="22.5" customHeight="1">
      <c r="A9" s="20" t="s">
        <v>174</v>
      </c>
      <c r="B9" s="20" t="s">
        <v>175</v>
      </c>
      <c r="C9" s="20" t="s">
        <v>90</v>
      </c>
      <c r="D9" s="35" t="s">
        <v>73</v>
      </c>
      <c r="E9" s="35">
        <v>1.0</v>
      </c>
      <c r="F9" s="37" t="s">
        <v>43</v>
      </c>
      <c r="G9" s="36" t="s">
        <v>90</v>
      </c>
      <c r="H9" s="37">
        <v>5000.0</v>
      </c>
      <c r="I9" s="36">
        <v>5000.0</v>
      </c>
      <c r="J9" s="27" t="s">
        <v>176</v>
      </c>
      <c r="K9" s="48">
        <v>45992.0</v>
      </c>
    </row>
    <row r="10" ht="22.5" customHeight="1">
      <c r="A10" s="20" t="s">
        <v>177</v>
      </c>
      <c r="B10" s="20" t="s">
        <v>178</v>
      </c>
      <c r="C10" s="20" t="s">
        <v>27</v>
      </c>
      <c r="D10" s="35" t="s">
        <v>20</v>
      </c>
      <c r="E10" s="35">
        <v>1.0</v>
      </c>
      <c r="F10" s="37" t="s">
        <v>20</v>
      </c>
      <c r="G10" s="36" t="s">
        <v>179</v>
      </c>
      <c r="H10" s="37">
        <v>5700.0</v>
      </c>
      <c r="I10" s="36">
        <v>5700.0</v>
      </c>
      <c r="J10" s="20" t="s">
        <v>180</v>
      </c>
      <c r="K10" s="48">
        <v>45992.0</v>
      </c>
    </row>
    <row r="11" ht="22.5" customHeight="1">
      <c r="A11" s="20" t="s">
        <v>181</v>
      </c>
      <c r="B11" s="20" t="s">
        <v>182</v>
      </c>
      <c r="C11" s="20" t="s">
        <v>27</v>
      </c>
      <c r="D11" s="35" t="s">
        <v>183</v>
      </c>
      <c r="E11" s="35">
        <v>2.0</v>
      </c>
      <c r="F11" s="37" t="s">
        <v>183</v>
      </c>
      <c r="G11" s="36" t="s">
        <v>184</v>
      </c>
      <c r="H11" s="37">
        <v>12000.0</v>
      </c>
      <c r="I11" s="36">
        <v>24000.0</v>
      </c>
      <c r="J11" s="20" t="s">
        <v>185</v>
      </c>
      <c r="K11" s="48">
        <v>45992.0</v>
      </c>
    </row>
    <row r="12" ht="22.5" customHeight="1">
      <c r="A12" s="27">
        <v>10.0</v>
      </c>
      <c r="B12" s="27" t="s">
        <v>186</v>
      </c>
      <c r="C12" s="36">
        <v>184700.0</v>
      </c>
      <c r="D12" s="41"/>
      <c r="E12" s="41" t="s">
        <v>187</v>
      </c>
      <c r="F12" s="42" t="s">
        <v>188</v>
      </c>
      <c r="G12" s="42" t="s">
        <v>189</v>
      </c>
      <c r="H12" s="40"/>
      <c r="I12" s="43"/>
      <c r="J12" s="43"/>
      <c r="K12" s="43"/>
    </row>
    <row r="13">
      <c r="A13" s="5"/>
      <c r="B13" s="5"/>
      <c r="C13" s="5"/>
      <c r="D13" s="5"/>
      <c r="E13" s="5"/>
      <c r="F13" s="5"/>
      <c r="G13" s="5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">
    <mergeCell ref="A1:G1"/>
  </mergeCells>
  <dataValidations>
    <dataValidation type="list" allowBlank="1" sqref="E3:E12">
      <formula1>"1,1,1,1,1,1,1,1,2,**10**"</formula1>
    </dataValidation>
    <dataValidation type="list" allowBlank="1" sqref="D3:D12">
      <formula1>"ml,ml,ml,ml,ml,Und,ml,Und,Und"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5.0"/>
    <col customWidth="1" min="3" max="3" width="21.14"/>
    <col customWidth="1" min="4" max="4" width="15.43"/>
    <col customWidth="1" min="5" max="5" width="17.71"/>
    <col customWidth="1" min="6" max="7" width="25.0"/>
    <col customWidth="1" min="8" max="8" width="23.43"/>
    <col customWidth="1" min="9" max="9" width="16.14"/>
    <col customWidth="1" min="10" max="10" width="17.57"/>
    <col customWidth="1" min="11" max="11" width="16.14"/>
    <col customWidth="1" min="12" max="26" width="8.86"/>
  </cols>
  <sheetData>
    <row r="1">
      <c r="A1" s="54" t="s">
        <v>190</v>
      </c>
      <c r="B1" s="2"/>
      <c r="C1" s="2"/>
      <c r="D1" s="2"/>
      <c r="E1" s="2"/>
      <c r="F1" s="2"/>
      <c r="G1" s="3"/>
    </row>
    <row r="2" ht="22.5" customHeight="1">
      <c r="A2" s="33" t="s">
        <v>17</v>
      </c>
      <c r="B2" s="33" t="s">
        <v>18</v>
      </c>
      <c r="C2" s="33" t="s">
        <v>19</v>
      </c>
      <c r="D2" s="33" t="s">
        <v>151</v>
      </c>
      <c r="E2" s="33" t="s">
        <v>21</v>
      </c>
      <c r="F2" s="33" t="s">
        <v>35</v>
      </c>
      <c r="G2" s="33" t="s">
        <v>191</v>
      </c>
      <c r="H2" s="19" t="s">
        <v>22</v>
      </c>
      <c r="I2" s="13" t="s">
        <v>153</v>
      </c>
      <c r="J2" s="13" t="s">
        <v>37</v>
      </c>
      <c r="K2" s="13" t="s">
        <v>38</v>
      </c>
    </row>
    <row r="3" ht="22.5" customHeight="1">
      <c r="A3" s="20" t="s">
        <v>192</v>
      </c>
      <c r="B3" s="20" t="s">
        <v>193</v>
      </c>
      <c r="C3" s="21" t="s">
        <v>157</v>
      </c>
      <c r="D3" s="20" t="s">
        <v>183</v>
      </c>
      <c r="E3" s="21">
        <v>1.0</v>
      </c>
      <c r="F3" s="22" t="s">
        <v>43</v>
      </c>
      <c r="G3" s="23" t="s">
        <v>157</v>
      </c>
      <c r="H3" s="37">
        <v>6000.0</v>
      </c>
      <c r="I3" s="55">
        <v>6000.0</v>
      </c>
      <c r="J3" s="17" t="s">
        <v>194</v>
      </c>
      <c r="K3" s="16">
        <v>45992.0</v>
      </c>
    </row>
    <row r="4" ht="22.5" customHeight="1">
      <c r="A4" s="20" t="s">
        <v>192</v>
      </c>
      <c r="B4" s="20" t="s">
        <v>193</v>
      </c>
      <c r="C4" s="21" t="s">
        <v>157</v>
      </c>
      <c r="D4" s="20" t="s">
        <v>183</v>
      </c>
      <c r="E4" s="21">
        <v>1.0</v>
      </c>
      <c r="F4" s="22" t="s">
        <v>43</v>
      </c>
      <c r="G4" s="23" t="s">
        <v>157</v>
      </c>
      <c r="H4" s="37">
        <v>6000.0</v>
      </c>
      <c r="I4" s="55">
        <v>6000.0</v>
      </c>
      <c r="J4" s="17" t="s">
        <v>194</v>
      </c>
      <c r="K4" s="56">
        <v>46025.0</v>
      </c>
    </row>
    <row r="5" ht="22.5" customHeight="1">
      <c r="A5" s="27">
        <v>2.0</v>
      </c>
      <c r="B5" s="27" t="s">
        <v>195</v>
      </c>
      <c r="C5" s="28">
        <v>12000.0</v>
      </c>
      <c r="D5" s="29"/>
      <c r="E5" s="30"/>
      <c r="F5" s="31"/>
      <c r="G5" s="31"/>
      <c r="H5" s="2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custom" allowBlank="1" showDropDown="1" sqref="C3:C5 E3:G5">
      <formula1>AND(ISNUMBER(C3),(NOT(OR(NOT(ISERROR(DATEVALUE(C3))), AND(ISNUMBER(C3), LEFT(CELL("format", C3))="D")))))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4.57"/>
    <col customWidth="1" min="3" max="3" width="22.29"/>
    <col customWidth="1" min="4" max="4" width="15.43"/>
    <col customWidth="1" min="5" max="5" width="17.71"/>
    <col customWidth="1" min="6" max="7" width="24.57"/>
    <col customWidth="1" min="8" max="8" width="23.43"/>
    <col customWidth="1" min="9" max="9" width="23.14"/>
    <col customWidth="1" min="10" max="10" width="22.71"/>
    <col customWidth="1" min="11" max="26" width="8.86"/>
  </cols>
  <sheetData>
    <row r="1">
      <c r="A1" s="57" t="s">
        <v>196</v>
      </c>
      <c r="B1" s="2"/>
      <c r="C1" s="2"/>
      <c r="D1" s="2"/>
      <c r="E1" s="2"/>
      <c r="F1" s="2"/>
      <c r="G1" s="3"/>
    </row>
    <row r="2" ht="22.5" customHeight="1">
      <c r="A2" s="33" t="s">
        <v>17</v>
      </c>
      <c r="B2" s="33" t="s">
        <v>18</v>
      </c>
      <c r="C2" s="33" t="s">
        <v>19</v>
      </c>
      <c r="D2" s="33" t="s">
        <v>151</v>
      </c>
      <c r="E2" s="33" t="s">
        <v>21</v>
      </c>
      <c r="F2" s="33" t="s">
        <v>35</v>
      </c>
      <c r="G2" s="33" t="s">
        <v>152</v>
      </c>
      <c r="H2" s="19" t="s">
        <v>22</v>
      </c>
      <c r="I2" s="34" t="s">
        <v>153</v>
      </c>
      <c r="J2" s="34" t="s">
        <v>38</v>
      </c>
    </row>
    <row r="3" ht="22.5" customHeight="1">
      <c r="A3" s="20" t="s">
        <v>197</v>
      </c>
      <c r="B3" s="20" t="s">
        <v>198</v>
      </c>
      <c r="C3" s="35" t="s">
        <v>199</v>
      </c>
      <c r="D3" s="35" t="s">
        <v>20</v>
      </c>
      <c r="E3" s="35">
        <v>1.0</v>
      </c>
      <c r="F3" s="22" t="s">
        <v>20</v>
      </c>
      <c r="G3" s="37">
        <v>1.0</v>
      </c>
      <c r="H3" s="58">
        <v>32500.0</v>
      </c>
      <c r="I3" s="37">
        <v>32500.0</v>
      </c>
      <c r="J3" s="48">
        <v>45992.0</v>
      </c>
    </row>
    <row r="4" ht="22.5" customHeight="1">
      <c r="A4" s="20" t="s">
        <v>200</v>
      </c>
      <c r="B4" s="20" t="s">
        <v>201</v>
      </c>
      <c r="C4" s="35" t="s">
        <v>27</v>
      </c>
      <c r="D4" s="35" t="s">
        <v>20</v>
      </c>
      <c r="E4" s="35">
        <v>3.0</v>
      </c>
      <c r="F4" s="22" t="s">
        <v>20</v>
      </c>
      <c r="G4" s="37">
        <v>3.0</v>
      </c>
      <c r="H4" s="59">
        <v>3966.67</v>
      </c>
      <c r="I4" s="37">
        <v>11900.0</v>
      </c>
      <c r="J4" s="48">
        <v>45992.0</v>
      </c>
    </row>
    <row r="5" ht="22.5" customHeight="1">
      <c r="A5" s="20" t="s">
        <v>202</v>
      </c>
      <c r="B5" s="20" t="s">
        <v>203</v>
      </c>
      <c r="C5" s="35" t="s">
        <v>204</v>
      </c>
      <c r="D5" s="35" t="s">
        <v>20</v>
      </c>
      <c r="E5" s="35">
        <v>3.0</v>
      </c>
      <c r="F5" s="22" t="s">
        <v>20</v>
      </c>
      <c r="G5" s="37">
        <v>3.0</v>
      </c>
      <c r="H5" s="58">
        <v>3900.0</v>
      </c>
      <c r="I5" s="37">
        <v>11700.0</v>
      </c>
      <c r="J5" s="48">
        <v>45992.0</v>
      </c>
    </row>
    <row r="6" ht="22.5" customHeight="1">
      <c r="A6" s="20" t="s">
        <v>205</v>
      </c>
      <c r="B6" s="20" t="s">
        <v>206</v>
      </c>
      <c r="C6" s="35" t="s">
        <v>27</v>
      </c>
      <c r="D6" s="35" t="s">
        <v>20</v>
      </c>
      <c r="E6" s="35">
        <v>1.0</v>
      </c>
      <c r="F6" s="22" t="s">
        <v>20</v>
      </c>
      <c r="G6" s="37">
        <v>1.0</v>
      </c>
      <c r="H6" s="58">
        <v>2500.0</v>
      </c>
      <c r="I6" s="37">
        <v>2500.0</v>
      </c>
      <c r="J6" s="48">
        <v>45992.0</v>
      </c>
    </row>
    <row r="7" ht="22.5" customHeight="1">
      <c r="A7" s="20" t="s">
        <v>207</v>
      </c>
      <c r="B7" s="20" t="s">
        <v>208</v>
      </c>
      <c r="C7" s="35" t="s">
        <v>27</v>
      </c>
      <c r="D7" s="35" t="s">
        <v>20</v>
      </c>
      <c r="E7" s="35">
        <v>2.0</v>
      </c>
      <c r="F7" s="22" t="s">
        <v>20</v>
      </c>
      <c r="G7" s="37">
        <v>2.0</v>
      </c>
      <c r="H7" s="58">
        <v>2950.0</v>
      </c>
      <c r="I7" s="37">
        <v>5900.0</v>
      </c>
      <c r="J7" s="48">
        <v>45992.0</v>
      </c>
    </row>
    <row r="8" ht="22.5" customHeight="1">
      <c r="A8" s="20" t="s">
        <v>209</v>
      </c>
      <c r="B8" s="20" t="s">
        <v>210</v>
      </c>
      <c r="C8" s="35" t="s">
        <v>27</v>
      </c>
      <c r="D8" s="35" t="s">
        <v>20</v>
      </c>
      <c r="E8" s="35">
        <v>1.0</v>
      </c>
      <c r="F8" s="22" t="s">
        <v>20</v>
      </c>
      <c r="G8" s="37">
        <v>1.0</v>
      </c>
      <c r="H8" s="58">
        <v>2950.0</v>
      </c>
      <c r="I8" s="37">
        <v>2950.0</v>
      </c>
      <c r="J8" s="48">
        <v>45992.0</v>
      </c>
    </row>
    <row r="9" ht="22.5" customHeight="1">
      <c r="A9" s="20" t="s">
        <v>211</v>
      </c>
      <c r="B9" s="20" t="s">
        <v>212</v>
      </c>
      <c r="C9" s="35" t="s">
        <v>27</v>
      </c>
      <c r="D9" s="35" t="s">
        <v>20</v>
      </c>
      <c r="E9" s="35">
        <v>6.0</v>
      </c>
      <c r="F9" s="22" t="s">
        <v>20</v>
      </c>
      <c r="G9" s="37">
        <v>6.0</v>
      </c>
      <c r="H9" s="58">
        <v>7000.0</v>
      </c>
      <c r="I9" s="37">
        <v>42000.0</v>
      </c>
      <c r="J9" s="48">
        <v>45992.0</v>
      </c>
    </row>
    <row r="10" ht="22.5" customHeight="1">
      <c r="A10" s="20" t="s">
        <v>213</v>
      </c>
      <c r="B10" s="20" t="s">
        <v>214</v>
      </c>
      <c r="C10" s="35" t="s">
        <v>27</v>
      </c>
      <c r="D10" s="35" t="s">
        <v>20</v>
      </c>
      <c r="E10" s="35">
        <v>6.0</v>
      </c>
      <c r="F10" s="22" t="s">
        <v>20</v>
      </c>
      <c r="G10" s="37">
        <v>6.0</v>
      </c>
      <c r="H10" s="58">
        <v>5000.0</v>
      </c>
      <c r="I10" s="37">
        <v>30000.0</v>
      </c>
      <c r="J10" s="48">
        <v>45992.0</v>
      </c>
    </row>
    <row r="11" ht="22.5" customHeight="1">
      <c r="A11" s="20" t="s">
        <v>215</v>
      </c>
      <c r="B11" s="20" t="s">
        <v>216</v>
      </c>
      <c r="C11" s="35" t="s">
        <v>27</v>
      </c>
      <c r="D11" s="35" t="s">
        <v>20</v>
      </c>
      <c r="E11" s="35">
        <v>6.0</v>
      </c>
      <c r="F11" s="22" t="s">
        <v>20</v>
      </c>
      <c r="G11" s="37">
        <v>6.0</v>
      </c>
      <c r="H11" s="58">
        <v>4000.0</v>
      </c>
      <c r="I11" s="37">
        <v>24000.0</v>
      </c>
      <c r="J11" s="48">
        <v>45992.0</v>
      </c>
    </row>
    <row r="12" ht="22.5" customHeight="1">
      <c r="A12" s="20" t="s">
        <v>217</v>
      </c>
      <c r="B12" s="20" t="s">
        <v>218</v>
      </c>
      <c r="C12" s="35" t="s">
        <v>27</v>
      </c>
      <c r="D12" s="35" t="s">
        <v>20</v>
      </c>
      <c r="E12" s="35">
        <v>5.0</v>
      </c>
      <c r="F12" s="22" t="s">
        <v>20</v>
      </c>
      <c r="G12" s="37">
        <v>5.0</v>
      </c>
      <c r="H12" s="58">
        <v>9000.0</v>
      </c>
      <c r="I12" s="37">
        <v>45000.0</v>
      </c>
      <c r="J12" s="48">
        <v>45992.0</v>
      </c>
    </row>
    <row r="13" ht="22.5" customHeight="1">
      <c r="A13" s="20" t="s">
        <v>219</v>
      </c>
      <c r="B13" s="20" t="s">
        <v>220</v>
      </c>
      <c r="C13" s="35" t="s">
        <v>27</v>
      </c>
      <c r="D13" s="35" t="s">
        <v>20</v>
      </c>
      <c r="E13" s="35">
        <v>6.0</v>
      </c>
      <c r="F13" s="22" t="s">
        <v>20</v>
      </c>
      <c r="G13" s="37">
        <v>6.0</v>
      </c>
      <c r="H13" s="58">
        <v>35000.0</v>
      </c>
      <c r="I13" s="37">
        <v>210000.0</v>
      </c>
      <c r="J13" s="48">
        <v>45992.0</v>
      </c>
    </row>
    <row r="14" ht="22.5" customHeight="1">
      <c r="A14" s="20" t="s">
        <v>221</v>
      </c>
      <c r="B14" s="20" t="s">
        <v>222</v>
      </c>
      <c r="C14" s="35" t="s">
        <v>27</v>
      </c>
      <c r="D14" s="35" t="s">
        <v>20</v>
      </c>
      <c r="E14" s="35">
        <v>3.0</v>
      </c>
      <c r="F14" s="22" t="s">
        <v>20</v>
      </c>
      <c r="G14" s="37">
        <v>3.0</v>
      </c>
      <c r="H14" s="59">
        <v>3666.67</v>
      </c>
      <c r="I14" s="37">
        <v>11000.0</v>
      </c>
      <c r="J14" s="48">
        <v>45992.0</v>
      </c>
    </row>
    <row r="15" ht="22.5" customHeight="1">
      <c r="A15" s="20" t="s">
        <v>223</v>
      </c>
      <c r="B15" s="20" t="s">
        <v>224</v>
      </c>
      <c r="C15" s="35" t="s">
        <v>27</v>
      </c>
      <c r="D15" s="35" t="s">
        <v>20</v>
      </c>
      <c r="E15" s="35">
        <v>2.0</v>
      </c>
      <c r="F15" s="22" t="s">
        <v>20</v>
      </c>
      <c r="G15" s="37">
        <v>2.0</v>
      </c>
      <c r="H15" s="58">
        <v>20000.0</v>
      </c>
      <c r="I15" s="37">
        <v>40000.0</v>
      </c>
      <c r="J15" s="48">
        <v>45992.0</v>
      </c>
    </row>
    <row r="16" ht="22.5" customHeight="1">
      <c r="A16" s="20" t="s">
        <v>225</v>
      </c>
      <c r="B16" s="20" t="s">
        <v>226</v>
      </c>
      <c r="C16" s="35" t="s">
        <v>27</v>
      </c>
      <c r="D16" s="35" t="s">
        <v>20</v>
      </c>
      <c r="E16" s="35">
        <v>1.0</v>
      </c>
      <c r="F16" s="22" t="s">
        <v>20</v>
      </c>
      <c r="G16" s="37">
        <v>1.0</v>
      </c>
      <c r="H16" s="58">
        <v>40000.0</v>
      </c>
      <c r="I16" s="37">
        <v>40000.0</v>
      </c>
      <c r="J16" s="48">
        <v>45992.0</v>
      </c>
    </row>
    <row r="17" ht="22.5" customHeight="1">
      <c r="A17" s="20" t="s">
        <v>227</v>
      </c>
      <c r="B17" s="20" t="s">
        <v>228</v>
      </c>
      <c r="C17" s="35" t="s">
        <v>27</v>
      </c>
      <c r="D17" s="35" t="s">
        <v>20</v>
      </c>
      <c r="E17" s="35">
        <v>2.0</v>
      </c>
      <c r="F17" s="22" t="s">
        <v>20</v>
      </c>
      <c r="G17" s="37">
        <v>2.0</v>
      </c>
      <c r="H17" s="58">
        <v>135000.0</v>
      </c>
      <c r="I17" s="37">
        <v>270000.0</v>
      </c>
      <c r="J17" s="48">
        <v>45992.0</v>
      </c>
    </row>
    <row r="18" ht="22.5" customHeight="1">
      <c r="A18" s="20" t="s">
        <v>229</v>
      </c>
      <c r="B18" s="20" t="s">
        <v>230</v>
      </c>
      <c r="C18" s="35" t="s">
        <v>27</v>
      </c>
      <c r="D18" s="35" t="s">
        <v>20</v>
      </c>
      <c r="E18" s="35">
        <v>1.0</v>
      </c>
      <c r="F18" s="22" t="s">
        <v>20</v>
      </c>
      <c r="G18" s="37">
        <v>1.0</v>
      </c>
      <c r="H18" s="58">
        <v>1000000.0</v>
      </c>
      <c r="I18" s="37">
        <v>1000000.0</v>
      </c>
      <c r="J18" s="48">
        <v>45992.0</v>
      </c>
    </row>
    <row r="19" ht="22.5" customHeight="1">
      <c r="A19" s="20" t="s">
        <v>231</v>
      </c>
      <c r="B19" s="20" t="s">
        <v>232</v>
      </c>
      <c r="C19" s="35" t="s">
        <v>27</v>
      </c>
      <c r="D19" s="35" t="s">
        <v>20</v>
      </c>
      <c r="E19" s="35">
        <v>1.0</v>
      </c>
      <c r="F19" s="22" t="s">
        <v>20</v>
      </c>
      <c r="G19" s="37">
        <v>1.0</v>
      </c>
      <c r="H19" s="58">
        <v>700000.0</v>
      </c>
      <c r="I19" s="37">
        <v>700000.0</v>
      </c>
      <c r="J19" s="48">
        <v>45992.0</v>
      </c>
    </row>
    <row r="20" ht="22.5" customHeight="1">
      <c r="A20" s="20" t="s">
        <v>233</v>
      </c>
      <c r="B20" s="20" t="s">
        <v>234</v>
      </c>
      <c r="C20" s="35" t="s">
        <v>27</v>
      </c>
      <c r="D20" s="35" t="s">
        <v>20</v>
      </c>
      <c r="E20" s="35">
        <v>1.0</v>
      </c>
      <c r="F20" s="22" t="s">
        <v>20</v>
      </c>
      <c r="G20" s="37">
        <v>1.0</v>
      </c>
      <c r="H20" s="58">
        <v>350000.0</v>
      </c>
      <c r="I20" s="37">
        <v>350000.0</v>
      </c>
      <c r="J20" s="48">
        <v>45992.0</v>
      </c>
    </row>
    <row r="21" ht="15.75" customHeight="1">
      <c r="A21" s="20" t="s">
        <v>235</v>
      </c>
      <c r="B21" s="20" t="s">
        <v>236</v>
      </c>
      <c r="C21" s="35" t="s">
        <v>27</v>
      </c>
      <c r="D21" s="35" t="s">
        <v>20</v>
      </c>
      <c r="E21" s="35">
        <v>1.0</v>
      </c>
      <c r="F21" s="22" t="s">
        <v>20</v>
      </c>
      <c r="G21" s="37">
        <v>1.0</v>
      </c>
      <c r="H21" s="58">
        <v>100000.0</v>
      </c>
      <c r="I21" s="37">
        <v>100000.0</v>
      </c>
      <c r="J21" s="48">
        <v>45992.0</v>
      </c>
    </row>
    <row r="22" ht="15.75" customHeight="1">
      <c r="A22" s="20" t="s">
        <v>237</v>
      </c>
      <c r="B22" s="20" t="s">
        <v>238</v>
      </c>
      <c r="C22" s="35" t="s">
        <v>27</v>
      </c>
      <c r="D22" s="35" t="s">
        <v>20</v>
      </c>
      <c r="E22" s="35">
        <v>1.0</v>
      </c>
      <c r="F22" s="22" t="s">
        <v>20</v>
      </c>
      <c r="G22" s="37">
        <v>1.0</v>
      </c>
      <c r="H22" s="58">
        <v>600000.0</v>
      </c>
      <c r="I22" s="37">
        <v>600000.0</v>
      </c>
      <c r="J22" s="48">
        <v>45992.0</v>
      </c>
    </row>
    <row r="23" ht="15.75" customHeight="1">
      <c r="A23" s="20" t="s">
        <v>239</v>
      </c>
      <c r="B23" s="20" t="s">
        <v>240</v>
      </c>
      <c r="C23" s="35" t="s">
        <v>27</v>
      </c>
      <c r="D23" s="35" t="s">
        <v>20</v>
      </c>
      <c r="E23" s="35">
        <v>1.0</v>
      </c>
      <c r="F23" s="22" t="s">
        <v>20</v>
      </c>
      <c r="G23" s="37">
        <v>1.0</v>
      </c>
      <c r="H23" s="58">
        <v>30000.0</v>
      </c>
      <c r="I23" s="37">
        <v>30000.0</v>
      </c>
      <c r="J23" s="48">
        <v>45992.0</v>
      </c>
    </row>
    <row r="24" ht="15.75" customHeight="1">
      <c r="A24" s="20" t="s">
        <v>241</v>
      </c>
      <c r="B24" s="20" t="s">
        <v>242</v>
      </c>
      <c r="C24" s="35" t="s">
        <v>27</v>
      </c>
      <c r="D24" s="35" t="s">
        <v>20</v>
      </c>
      <c r="E24" s="35">
        <v>1.0</v>
      </c>
      <c r="F24" s="22" t="s">
        <v>20</v>
      </c>
      <c r="G24" s="37">
        <v>1.0</v>
      </c>
      <c r="H24" s="58">
        <v>100000.0</v>
      </c>
      <c r="I24" s="37">
        <v>100000.0</v>
      </c>
      <c r="J24" s="48">
        <v>45992.0</v>
      </c>
    </row>
    <row r="25" ht="15.75" customHeight="1">
      <c r="A25" s="20" t="s">
        <v>243</v>
      </c>
      <c r="B25" s="20" t="s">
        <v>244</v>
      </c>
      <c r="C25" s="35" t="s">
        <v>27</v>
      </c>
      <c r="D25" s="35" t="s">
        <v>20</v>
      </c>
      <c r="E25" s="35">
        <v>1.0</v>
      </c>
      <c r="F25" s="22" t="s">
        <v>20</v>
      </c>
      <c r="G25" s="37">
        <v>1.0</v>
      </c>
      <c r="H25" s="58">
        <v>500000.0</v>
      </c>
      <c r="I25" s="37">
        <v>500000.0</v>
      </c>
      <c r="J25" s="48">
        <v>45992.0</v>
      </c>
    </row>
    <row r="26" ht="15.75" customHeight="1">
      <c r="A26" s="20" t="s">
        <v>245</v>
      </c>
      <c r="B26" s="20" t="s">
        <v>246</v>
      </c>
      <c r="C26" s="35" t="s">
        <v>27</v>
      </c>
      <c r="D26" s="35" t="s">
        <v>247</v>
      </c>
      <c r="E26" s="35">
        <v>1.0</v>
      </c>
      <c r="F26" s="22" t="s">
        <v>20</v>
      </c>
      <c r="G26" s="36">
        <v>3.0</v>
      </c>
      <c r="H26" s="58">
        <v>12000.0</v>
      </c>
      <c r="I26" s="37">
        <v>12000.0</v>
      </c>
      <c r="J26" s="48">
        <v>45992.0</v>
      </c>
    </row>
    <row r="27" ht="15.75" customHeight="1">
      <c r="A27" s="20" t="s">
        <v>248</v>
      </c>
      <c r="B27" s="20" t="s">
        <v>249</v>
      </c>
      <c r="C27" s="35" t="s">
        <v>27</v>
      </c>
      <c r="D27" s="35" t="s">
        <v>20</v>
      </c>
      <c r="E27" s="35">
        <v>1.0</v>
      </c>
      <c r="F27" s="22" t="s">
        <v>20</v>
      </c>
      <c r="G27" s="37">
        <v>1.0</v>
      </c>
      <c r="H27" s="58">
        <v>8000.0</v>
      </c>
      <c r="I27" s="37">
        <v>8000.0</v>
      </c>
      <c r="J27" s="48">
        <v>45992.0</v>
      </c>
    </row>
    <row r="28" ht="15.75" customHeight="1">
      <c r="A28" s="20" t="s">
        <v>250</v>
      </c>
      <c r="B28" s="20" t="s">
        <v>251</v>
      </c>
      <c r="C28" s="35" t="s">
        <v>27</v>
      </c>
      <c r="D28" s="35" t="s">
        <v>247</v>
      </c>
      <c r="E28" s="35">
        <v>1.0</v>
      </c>
      <c r="F28" s="22" t="s">
        <v>20</v>
      </c>
      <c r="G28" s="36">
        <v>12.0</v>
      </c>
      <c r="H28" s="58">
        <v>32000.0</v>
      </c>
      <c r="I28" s="37">
        <v>32000.0</v>
      </c>
      <c r="J28" s="48">
        <v>45992.0</v>
      </c>
    </row>
    <row r="29" ht="15.75" customHeight="1">
      <c r="A29" s="20" t="s">
        <v>252</v>
      </c>
      <c r="B29" s="20" t="s">
        <v>253</v>
      </c>
      <c r="C29" s="35" t="s">
        <v>27</v>
      </c>
      <c r="D29" s="35" t="s">
        <v>20</v>
      </c>
      <c r="E29" s="35">
        <v>1.0</v>
      </c>
      <c r="F29" s="22" t="s">
        <v>20</v>
      </c>
      <c r="G29" s="37">
        <v>1.0</v>
      </c>
      <c r="H29" s="58">
        <v>6000.0</v>
      </c>
      <c r="I29" s="37">
        <v>6000.0</v>
      </c>
      <c r="J29" s="48">
        <v>45992.0</v>
      </c>
    </row>
    <row r="30" ht="15.75" customHeight="1">
      <c r="A30" s="20" t="s">
        <v>254</v>
      </c>
      <c r="B30" s="20" t="s">
        <v>255</v>
      </c>
      <c r="C30" s="35" t="s">
        <v>27</v>
      </c>
      <c r="D30" s="35" t="s">
        <v>20</v>
      </c>
      <c r="E30" s="35">
        <v>1.0</v>
      </c>
      <c r="F30" s="22" t="s">
        <v>20</v>
      </c>
      <c r="G30" s="37">
        <v>1.0</v>
      </c>
      <c r="H30" s="58">
        <v>16000.0</v>
      </c>
      <c r="I30" s="37">
        <v>16000.0</v>
      </c>
      <c r="J30" s="48">
        <v>45992.0</v>
      </c>
    </row>
    <row r="31" ht="15.75" customHeight="1">
      <c r="A31" s="20" t="s">
        <v>256</v>
      </c>
      <c r="B31" s="20" t="s">
        <v>257</v>
      </c>
      <c r="C31" s="35" t="s">
        <v>27</v>
      </c>
      <c r="D31" s="35" t="s">
        <v>20</v>
      </c>
      <c r="E31" s="35">
        <v>1.0</v>
      </c>
      <c r="F31" s="22" t="s">
        <v>20</v>
      </c>
      <c r="G31" s="37">
        <v>1.0</v>
      </c>
      <c r="H31" s="58">
        <v>10000.0</v>
      </c>
      <c r="I31" s="37">
        <v>10000.0</v>
      </c>
      <c r="J31" s="48">
        <v>45992.0</v>
      </c>
    </row>
    <row r="32" ht="15.75" customHeight="1">
      <c r="A32" s="20" t="s">
        <v>258</v>
      </c>
      <c r="B32" s="20" t="s">
        <v>259</v>
      </c>
      <c r="C32" s="35" t="s">
        <v>27</v>
      </c>
      <c r="D32" s="35" t="s">
        <v>247</v>
      </c>
      <c r="E32" s="35">
        <v>1.0</v>
      </c>
      <c r="F32" s="22" t="s">
        <v>20</v>
      </c>
      <c r="G32" s="36">
        <v>12.0</v>
      </c>
      <c r="H32" s="58">
        <v>7000.0</v>
      </c>
      <c r="I32" s="37">
        <v>7000.0</v>
      </c>
      <c r="J32" s="48">
        <v>45992.0</v>
      </c>
    </row>
    <row r="33" ht="15.75" customHeight="1">
      <c r="A33" s="20" t="s">
        <v>260</v>
      </c>
      <c r="B33" s="20" t="s">
        <v>261</v>
      </c>
      <c r="C33" s="35" t="s">
        <v>27</v>
      </c>
      <c r="D33" s="35" t="s">
        <v>20</v>
      </c>
      <c r="E33" s="35">
        <v>1.0</v>
      </c>
      <c r="F33" s="22" t="s">
        <v>20</v>
      </c>
      <c r="G33" s="37">
        <v>1.0</v>
      </c>
      <c r="H33" s="58">
        <v>14000.0</v>
      </c>
      <c r="I33" s="37">
        <v>14000.0</v>
      </c>
      <c r="J33" s="48">
        <v>45992.0</v>
      </c>
    </row>
    <row r="34" ht="15.75" customHeight="1">
      <c r="A34" s="27" t="s">
        <v>262</v>
      </c>
      <c r="B34" s="36">
        <v>4277550.0</v>
      </c>
      <c r="C34" s="41"/>
      <c r="D34" s="41"/>
      <c r="E34" s="41"/>
      <c r="F34" s="42"/>
      <c r="G34" s="42"/>
      <c r="H34" s="41"/>
      <c r="I34" s="43"/>
      <c r="J34" s="43"/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dataValidations>
    <dataValidation type="list" allowBlank="1" sqref="E3:E34">
      <formula1>"1,3,3,1,2,1,6,6,6,5,6,3,2,1,2,1,1,1,1,1,1,1,1,1,1,1,1,1,1,1,1,**57**"</formula1>
    </dataValidation>
    <dataValidation type="list" allowBlank="1" sqref="H3:H34">
      <formula1>"Mobiliario,Menaje,Menaje,Menaje,Utensilio,Eléctrico,Menaje,Menaje,Menaje,Menaje,Menaje,Menaje,Utensilio,Menaje,Menaje,Mobiliario,Electrónico,Mobiliario,Mobiliario,Utensilio,Utensilio,Utensilio,Iluminación,Menaje,Insumo,Menaje,Insumo,Utensilio,Utensilio,In"&amp;"sumo,Mobiliario"</formula1>
    </dataValidation>
    <dataValidation type="custom" allowBlank="1" showDropDown="1" sqref="F3:F34">
      <formula1>AND(ISNUMBER(F3),(NOT(OR(NOT(ISERROR(DATEVALUE(F3))), AND(ISNUMBER(F3), LEFT(CELL("format", F3))="D")))))</formula1>
    </dataValidation>
    <dataValidation type="list" allowBlank="1" sqref="C3:C34">
      <formula1>"20,N/A,98.8,N/A,N/A,N/A,N/A,N/A,N/A,N/A,N/A,N/A,N/A,N/A,N/A,N/A,N/A,N/A,N/A,N/A,N/A,N/A,N/A,N/A,N/A,N/A,N/A,N/A,N/A,N/A,N/A"</formula1>
    </dataValidation>
    <dataValidation type="list" allowBlank="1" sqref="D3:D34">
      <formula1>"L,Und,cc,Und,Und,Und,Und,Und,Und,Und,Und,Und,Und,Und,Und,Und,Und,Und,Und,Und,Und,Und,Und,Set,Und,Set,Und,Und,Und,Set,Und"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4.29"/>
    <col customWidth="1" min="3" max="3" width="22.29"/>
    <col customWidth="1" min="4" max="4" width="15.43"/>
    <col customWidth="1" min="5" max="5" width="17.71"/>
    <col customWidth="1" min="6" max="8" width="24.29"/>
    <col customWidth="1" min="9" max="9" width="16.14"/>
    <col customWidth="1" min="10" max="10" width="25.86"/>
    <col customWidth="1" min="11" max="11" width="16.14"/>
    <col customWidth="1" min="12" max="26" width="8.86"/>
  </cols>
  <sheetData>
    <row r="1">
      <c r="A1" s="60" t="s">
        <v>263</v>
      </c>
      <c r="B1" s="2"/>
      <c r="C1" s="2"/>
      <c r="D1" s="2"/>
      <c r="E1" s="2"/>
      <c r="F1" s="2"/>
      <c r="G1" s="3"/>
    </row>
    <row r="2" ht="22.5" customHeight="1">
      <c r="A2" s="33" t="s">
        <v>17</v>
      </c>
      <c r="B2" s="33" t="s">
        <v>18</v>
      </c>
      <c r="C2" s="33" t="s">
        <v>19</v>
      </c>
      <c r="D2" s="33" t="s">
        <v>151</v>
      </c>
      <c r="E2" s="33" t="s">
        <v>21</v>
      </c>
      <c r="F2" s="33" t="s">
        <v>35</v>
      </c>
      <c r="G2" s="33" t="s">
        <v>152</v>
      </c>
      <c r="H2" s="19" t="s">
        <v>22</v>
      </c>
      <c r="I2" s="13" t="s">
        <v>153</v>
      </c>
      <c r="J2" s="13" t="s">
        <v>154</v>
      </c>
      <c r="K2" s="13" t="s">
        <v>38</v>
      </c>
    </row>
    <row r="3" ht="22.5" customHeight="1">
      <c r="A3" s="20" t="s">
        <v>264</v>
      </c>
      <c r="B3" s="20" t="s">
        <v>265</v>
      </c>
      <c r="C3" s="20" t="s">
        <v>27</v>
      </c>
      <c r="D3" s="20" t="s">
        <v>20</v>
      </c>
      <c r="E3" s="20">
        <v>1.0</v>
      </c>
      <c r="F3" s="37" t="s">
        <v>20</v>
      </c>
      <c r="G3" s="36">
        <v>1.0</v>
      </c>
      <c r="H3" s="37">
        <v>4200.0</v>
      </c>
      <c r="I3" s="55">
        <v>4200.0</v>
      </c>
      <c r="J3" s="14" t="s">
        <v>266</v>
      </c>
      <c r="K3" s="16">
        <v>45992.0</v>
      </c>
    </row>
    <row r="4" ht="22.5" customHeight="1">
      <c r="A4" s="20" t="s">
        <v>267</v>
      </c>
      <c r="B4" s="20" t="s">
        <v>268</v>
      </c>
      <c r="C4" s="20" t="s">
        <v>27</v>
      </c>
      <c r="D4" s="20" t="s">
        <v>20</v>
      </c>
      <c r="E4" s="20">
        <v>1.0</v>
      </c>
      <c r="F4" s="37" t="s">
        <v>20</v>
      </c>
      <c r="G4" s="36">
        <v>1.0</v>
      </c>
      <c r="H4" s="37">
        <v>5000.0</v>
      </c>
      <c r="I4" s="55">
        <v>5000.0</v>
      </c>
      <c r="J4" s="14" t="s">
        <v>269</v>
      </c>
      <c r="K4" s="16">
        <v>45992.0</v>
      </c>
    </row>
    <row r="5" ht="22.5" customHeight="1">
      <c r="A5" s="20" t="s">
        <v>270</v>
      </c>
      <c r="B5" s="20" t="s">
        <v>271</v>
      </c>
      <c r="C5" s="20" t="s">
        <v>27</v>
      </c>
      <c r="D5" s="20" t="s">
        <v>20</v>
      </c>
      <c r="E5" s="20">
        <v>1.0</v>
      </c>
      <c r="F5" s="37" t="s">
        <v>20</v>
      </c>
      <c r="G5" s="36">
        <v>1.0</v>
      </c>
      <c r="H5" s="37">
        <v>34600.0</v>
      </c>
      <c r="I5" s="55">
        <v>34600.0</v>
      </c>
      <c r="J5" s="14" t="s">
        <v>272</v>
      </c>
      <c r="K5" s="16">
        <v>45992.0</v>
      </c>
    </row>
    <row r="6" ht="22.5" customHeight="1">
      <c r="A6" s="20" t="s">
        <v>273</v>
      </c>
      <c r="B6" s="20" t="s">
        <v>274</v>
      </c>
      <c r="C6" s="20" t="s">
        <v>27</v>
      </c>
      <c r="D6" s="20" t="s">
        <v>20</v>
      </c>
      <c r="E6" s="20">
        <v>1.0</v>
      </c>
      <c r="F6" s="37" t="s">
        <v>20</v>
      </c>
      <c r="G6" s="36">
        <v>1.0</v>
      </c>
      <c r="H6" s="37">
        <v>10000.0</v>
      </c>
      <c r="I6" s="55">
        <v>10000.0</v>
      </c>
      <c r="J6" s="14" t="s">
        <v>275</v>
      </c>
      <c r="K6" s="16">
        <v>45992.0</v>
      </c>
    </row>
    <row r="7" ht="22.5" customHeight="1">
      <c r="A7" s="20" t="s">
        <v>276</v>
      </c>
      <c r="B7" s="20" t="s">
        <v>277</v>
      </c>
      <c r="C7" s="20" t="s">
        <v>27</v>
      </c>
      <c r="D7" s="20" t="s">
        <v>20</v>
      </c>
      <c r="E7" s="20">
        <v>1.0</v>
      </c>
      <c r="F7" s="37" t="s">
        <v>20</v>
      </c>
      <c r="G7" s="36">
        <v>1.0</v>
      </c>
      <c r="H7" s="37">
        <v>10000.0</v>
      </c>
      <c r="I7" s="55">
        <v>10000.0</v>
      </c>
      <c r="J7" s="14" t="s">
        <v>275</v>
      </c>
      <c r="K7" s="16">
        <v>45992.0</v>
      </c>
    </row>
    <row r="8" ht="22.5" customHeight="1">
      <c r="A8" s="20" t="s">
        <v>278</v>
      </c>
      <c r="B8" s="20" t="s">
        <v>279</v>
      </c>
      <c r="C8" s="20" t="s">
        <v>27</v>
      </c>
      <c r="D8" s="20" t="s">
        <v>20</v>
      </c>
      <c r="E8" s="20">
        <v>1.0</v>
      </c>
      <c r="F8" s="37" t="s">
        <v>20</v>
      </c>
      <c r="G8" s="36">
        <v>1.0</v>
      </c>
      <c r="H8" s="37">
        <v>10000.0</v>
      </c>
      <c r="I8" s="55">
        <v>10000.0</v>
      </c>
      <c r="J8" s="14" t="s">
        <v>275</v>
      </c>
      <c r="K8" s="16">
        <v>45992.0</v>
      </c>
    </row>
    <row r="9" ht="22.5" customHeight="1">
      <c r="A9" s="20" t="s">
        <v>280</v>
      </c>
      <c r="B9" s="20" t="s">
        <v>281</v>
      </c>
      <c r="C9" s="20" t="s">
        <v>27</v>
      </c>
      <c r="D9" s="20" t="s">
        <v>282</v>
      </c>
      <c r="E9" s="20">
        <v>1.0</v>
      </c>
      <c r="F9" s="37" t="s">
        <v>282</v>
      </c>
      <c r="G9" s="36">
        <v>1.0</v>
      </c>
      <c r="H9" s="37">
        <v>16000.0</v>
      </c>
      <c r="I9" s="55">
        <v>16000.0</v>
      </c>
      <c r="J9" s="14" t="s">
        <v>283</v>
      </c>
      <c r="K9" s="16">
        <v>45992.0</v>
      </c>
    </row>
    <row r="10" ht="22.5" customHeight="1">
      <c r="A10" s="20" t="s">
        <v>284</v>
      </c>
      <c r="B10" s="20" t="s">
        <v>285</v>
      </c>
      <c r="C10" s="20" t="s">
        <v>27</v>
      </c>
      <c r="D10" s="20" t="s">
        <v>171</v>
      </c>
      <c r="E10" s="20">
        <v>2.0</v>
      </c>
      <c r="F10" s="37" t="s">
        <v>171</v>
      </c>
      <c r="G10" s="36">
        <v>2.0</v>
      </c>
      <c r="H10" s="37">
        <v>6000.0</v>
      </c>
      <c r="I10" s="55">
        <v>12000.0</v>
      </c>
      <c r="J10" s="14" t="s">
        <v>286</v>
      </c>
      <c r="K10" s="16">
        <v>45992.0</v>
      </c>
    </row>
    <row r="11" ht="22.5" customHeight="1">
      <c r="A11" s="20" t="s">
        <v>287</v>
      </c>
      <c r="B11" s="20" t="s">
        <v>288</v>
      </c>
      <c r="C11" s="37" t="s">
        <v>27</v>
      </c>
      <c r="D11" s="20" t="s">
        <v>20</v>
      </c>
      <c r="E11" s="20">
        <v>1.0</v>
      </c>
      <c r="F11" s="20" t="s">
        <v>20</v>
      </c>
      <c r="G11" s="27">
        <v>1.0</v>
      </c>
      <c r="H11" s="37">
        <v>2400.0</v>
      </c>
      <c r="I11" s="55">
        <v>2400.0</v>
      </c>
      <c r="J11" s="61" t="s">
        <v>289</v>
      </c>
      <c r="K11" s="16">
        <v>46025.0</v>
      </c>
    </row>
    <row r="12" ht="22.5" customHeight="1">
      <c r="A12" s="27"/>
      <c r="B12" s="27"/>
      <c r="C12" s="36"/>
      <c r="D12" s="62"/>
      <c r="E12" s="62"/>
      <c r="F12" s="62"/>
      <c r="G12" s="63"/>
      <c r="H12" s="64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6.86"/>
    <col customWidth="1" min="3" max="4" width="15.43"/>
    <col customWidth="1" min="5" max="5" width="17.71"/>
    <col customWidth="1" min="6" max="7" width="26.86"/>
    <col customWidth="1" min="8" max="8" width="23.43"/>
    <col customWidth="1" min="9" max="9" width="23.14"/>
    <col customWidth="1" min="10" max="10" width="33.29"/>
    <col customWidth="1" min="11" max="11" width="22.71"/>
    <col customWidth="1" min="12" max="26" width="8.86"/>
  </cols>
  <sheetData>
    <row r="1">
      <c r="A1" s="65" t="s">
        <v>290</v>
      </c>
      <c r="B1" s="2"/>
      <c r="C1" s="2"/>
      <c r="D1" s="2"/>
      <c r="E1" s="2"/>
      <c r="F1" s="2"/>
      <c r="G1" s="3"/>
    </row>
    <row r="2" ht="22.5" customHeight="1">
      <c r="A2" s="33" t="s">
        <v>17</v>
      </c>
      <c r="B2" s="33" t="s">
        <v>18</v>
      </c>
      <c r="C2" s="33" t="s">
        <v>19</v>
      </c>
      <c r="D2" s="33" t="s">
        <v>151</v>
      </c>
      <c r="E2" s="33" t="s">
        <v>21</v>
      </c>
      <c r="F2" s="33" t="s">
        <v>35</v>
      </c>
      <c r="G2" s="33" t="s">
        <v>152</v>
      </c>
      <c r="H2" s="19" t="s">
        <v>22</v>
      </c>
      <c r="I2" s="34" t="s">
        <v>153</v>
      </c>
      <c r="J2" s="34" t="s">
        <v>154</v>
      </c>
      <c r="K2" s="34" t="s">
        <v>38</v>
      </c>
    </row>
    <row r="3" ht="22.5" customHeight="1">
      <c r="A3" s="20" t="s">
        <v>291</v>
      </c>
      <c r="B3" s="20" t="s">
        <v>292</v>
      </c>
      <c r="C3" s="20" t="s">
        <v>293</v>
      </c>
      <c r="D3" s="20" t="s">
        <v>171</v>
      </c>
      <c r="E3" s="20">
        <v>2.0</v>
      </c>
      <c r="F3" s="24" t="s">
        <v>294</v>
      </c>
      <c r="G3" s="47" t="s">
        <v>295</v>
      </c>
      <c r="H3" s="37">
        <v>16000.0</v>
      </c>
      <c r="I3" s="36">
        <v>32000.0</v>
      </c>
      <c r="J3" s="27" t="s">
        <v>296</v>
      </c>
      <c r="K3" s="48">
        <v>45992.0</v>
      </c>
    </row>
    <row r="4" ht="22.5" customHeight="1">
      <c r="A4" s="20" t="s">
        <v>297</v>
      </c>
      <c r="B4" s="20" t="s">
        <v>298</v>
      </c>
      <c r="C4" s="20" t="s">
        <v>299</v>
      </c>
      <c r="D4" s="20" t="s">
        <v>300</v>
      </c>
      <c r="E4" s="20">
        <v>1.0</v>
      </c>
      <c r="F4" s="24" t="s">
        <v>294</v>
      </c>
      <c r="G4" s="47" t="s">
        <v>299</v>
      </c>
      <c r="H4" s="37">
        <v>11000.0</v>
      </c>
      <c r="I4" s="36">
        <v>11000.0</v>
      </c>
      <c r="J4" s="27" t="s">
        <v>301</v>
      </c>
      <c r="K4" s="48">
        <v>45992.0</v>
      </c>
    </row>
    <row r="5" ht="22.5" customHeight="1">
      <c r="A5" s="20" t="s">
        <v>280</v>
      </c>
      <c r="B5" s="20" t="s">
        <v>302</v>
      </c>
      <c r="C5" s="20" t="s">
        <v>303</v>
      </c>
      <c r="D5" s="20" t="s">
        <v>183</v>
      </c>
      <c r="E5" s="20">
        <v>1.0</v>
      </c>
      <c r="F5" s="24" t="s">
        <v>304</v>
      </c>
      <c r="G5" s="47" t="s">
        <v>303</v>
      </c>
      <c r="H5" s="37">
        <v>5000.0</v>
      </c>
      <c r="I5" s="36">
        <v>5000.0</v>
      </c>
      <c r="J5" s="27" t="s">
        <v>305</v>
      </c>
      <c r="K5" s="48">
        <v>45992.0</v>
      </c>
    </row>
    <row r="6" ht="22.5" customHeight="1">
      <c r="A6" s="20" t="s">
        <v>284</v>
      </c>
      <c r="B6" s="20" t="s">
        <v>306</v>
      </c>
      <c r="C6" s="20" t="s">
        <v>27</v>
      </c>
      <c r="D6" s="20" t="s">
        <v>20</v>
      </c>
      <c r="E6" s="20">
        <v>1.0</v>
      </c>
      <c r="F6" s="24" t="s">
        <v>20</v>
      </c>
      <c r="G6" s="47" t="s">
        <v>307</v>
      </c>
      <c r="H6" s="37">
        <v>4000.0</v>
      </c>
      <c r="I6" s="36">
        <v>4000.0</v>
      </c>
      <c r="J6" s="27" t="s">
        <v>308</v>
      </c>
      <c r="K6" s="48">
        <v>45992.0</v>
      </c>
    </row>
    <row r="7" ht="22.5" customHeight="1">
      <c r="A7" s="20" t="s">
        <v>309</v>
      </c>
      <c r="B7" s="20" t="s">
        <v>310</v>
      </c>
      <c r="C7" s="20" t="s">
        <v>27</v>
      </c>
      <c r="D7" s="20" t="s">
        <v>20</v>
      </c>
      <c r="E7" s="20">
        <v>2.0</v>
      </c>
      <c r="F7" s="24" t="s">
        <v>20</v>
      </c>
      <c r="G7" s="47" t="s">
        <v>311</v>
      </c>
      <c r="H7" s="37">
        <v>5900.0</v>
      </c>
      <c r="I7" s="36">
        <v>11800.0</v>
      </c>
      <c r="J7" s="27" t="s">
        <v>312</v>
      </c>
      <c r="K7" s="48">
        <v>45992.0</v>
      </c>
    </row>
    <row r="8" ht="22.5" customHeight="1">
      <c r="A8" s="27"/>
      <c r="B8" s="27"/>
      <c r="C8" s="36">
        <v>63800.0</v>
      </c>
      <c r="D8" s="40"/>
      <c r="E8" s="40"/>
      <c r="F8" s="42"/>
      <c r="G8" s="42"/>
      <c r="H8" s="40"/>
      <c r="I8" s="43"/>
      <c r="J8" s="43"/>
      <c r="K8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43"/>
    <col customWidth="1" min="2" max="2" width="26.57"/>
    <col customWidth="1" min="3" max="3" width="15.43"/>
    <col customWidth="1" min="4" max="4" width="23.57"/>
    <col customWidth="1" min="5" max="5" width="23.43"/>
    <col customWidth="1" min="6" max="7" width="26.57"/>
    <col customWidth="1" min="8" max="8" width="34.71"/>
    <col customWidth="1" min="9" max="9" width="23.14"/>
    <col customWidth="1" min="10" max="10" width="28.71"/>
    <col customWidth="1" min="11" max="11" width="16.14"/>
    <col customWidth="1" min="12" max="26" width="8.86"/>
  </cols>
  <sheetData>
    <row r="1">
      <c r="A1" s="66" t="s">
        <v>313</v>
      </c>
      <c r="B1" s="2"/>
      <c r="C1" s="2"/>
      <c r="D1" s="2"/>
      <c r="E1" s="2"/>
      <c r="F1" s="2"/>
      <c r="G1" s="3"/>
    </row>
    <row r="2" ht="22.5" customHeight="1">
      <c r="A2" s="19" t="s">
        <v>17</v>
      </c>
      <c r="B2" s="19" t="s">
        <v>18</v>
      </c>
      <c r="C2" s="19" t="s">
        <v>19</v>
      </c>
      <c r="D2" s="19" t="s">
        <v>151</v>
      </c>
      <c r="E2" s="19" t="s">
        <v>314</v>
      </c>
      <c r="F2" s="19" t="s">
        <v>315</v>
      </c>
      <c r="G2" s="19" t="s">
        <v>316</v>
      </c>
      <c r="H2" s="19" t="s">
        <v>317</v>
      </c>
      <c r="I2" s="34" t="s">
        <v>153</v>
      </c>
      <c r="J2" s="34" t="s">
        <v>318</v>
      </c>
      <c r="K2" s="13" t="s">
        <v>38</v>
      </c>
    </row>
    <row r="3" ht="22.5" customHeight="1">
      <c r="A3" s="20" t="s">
        <v>319</v>
      </c>
      <c r="B3" s="20" t="s">
        <v>320</v>
      </c>
      <c r="C3" s="20" t="s">
        <v>27</v>
      </c>
      <c r="D3" s="20" t="s">
        <v>321</v>
      </c>
      <c r="E3" s="20">
        <v>1.0</v>
      </c>
      <c r="F3" s="37">
        <v>20.0</v>
      </c>
      <c r="G3" s="37">
        <v>20.0</v>
      </c>
      <c r="H3" s="37">
        <v>13000.0</v>
      </c>
      <c r="I3" s="37">
        <v>13000.0</v>
      </c>
      <c r="J3" s="37">
        <v>650.0</v>
      </c>
      <c r="K3" s="16">
        <v>45992.0</v>
      </c>
    </row>
    <row r="4" ht="22.5" customHeight="1">
      <c r="A4" s="20" t="s">
        <v>322</v>
      </c>
      <c r="B4" s="20" t="s">
        <v>323</v>
      </c>
      <c r="C4" s="20" t="s">
        <v>27</v>
      </c>
      <c r="D4" s="20" t="s">
        <v>321</v>
      </c>
      <c r="E4" s="20">
        <v>1.0</v>
      </c>
      <c r="F4" s="37">
        <v>20.0</v>
      </c>
      <c r="G4" s="37">
        <v>20.0</v>
      </c>
      <c r="H4" s="37">
        <v>6000.0</v>
      </c>
      <c r="I4" s="37">
        <v>6000.0</v>
      </c>
      <c r="J4" s="37">
        <v>300.0</v>
      </c>
      <c r="K4" s="16">
        <v>45992.0</v>
      </c>
    </row>
    <row r="5" ht="22.5" customHeight="1">
      <c r="A5" s="20" t="s">
        <v>324</v>
      </c>
      <c r="B5" s="20" t="s">
        <v>325</v>
      </c>
      <c r="C5" s="20" t="s">
        <v>326</v>
      </c>
      <c r="D5" s="20" t="s">
        <v>321</v>
      </c>
      <c r="E5" s="20">
        <v>1.0</v>
      </c>
      <c r="F5" s="37">
        <v>40.0</v>
      </c>
      <c r="G5" s="37">
        <v>40.0</v>
      </c>
      <c r="H5" s="37">
        <v>5500.0</v>
      </c>
      <c r="I5" s="37">
        <v>5500.0</v>
      </c>
      <c r="J5" s="37">
        <v>138.0</v>
      </c>
      <c r="K5" s="16">
        <v>45992.0</v>
      </c>
    </row>
    <row r="6" ht="22.5" customHeight="1">
      <c r="A6" s="20" t="s">
        <v>327</v>
      </c>
      <c r="B6" s="20" t="s">
        <v>328</v>
      </c>
      <c r="C6" s="20" t="s">
        <v>27</v>
      </c>
      <c r="D6" s="20" t="s">
        <v>321</v>
      </c>
      <c r="E6" s="20">
        <v>1.0</v>
      </c>
      <c r="F6" s="37">
        <v>60.0</v>
      </c>
      <c r="G6" s="37">
        <v>60.0</v>
      </c>
      <c r="H6" s="37">
        <v>8000.0</v>
      </c>
      <c r="I6" s="37">
        <v>8000.0</v>
      </c>
      <c r="J6" s="37">
        <v>133.0</v>
      </c>
      <c r="K6" s="16">
        <v>45992.0</v>
      </c>
    </row>
    <row r="7" ht="22.5" customHeight="1">
      <c r="A7" s="20" t="s">
        <v>329</v>
      </c>
      <c r="B7" s="20" t="s">
        <v>330</v>
      </c>
      <c r="C7" s="37" t="s">
        <v>27</v>
      </c>
      <c r="D7" s="20" t="s">
        <v>321</v>
      </c>
      <c r="E7" s="20">
        <v>1.0</v>
      </c>
      <c r="F7" s="20">
        <v>180.0</v>
      </c>
      <c r="G7" s="20">
        <v>180.0</v>
      </c>
      <c r="H7" s="37">
        <v>2100.0</v>
      </c>
      <c r="I7" s="37">
        <v>2100.0</v>
      </c>
      <c r="J7" s="37">
        <v>12.0</v>
      </c>
      <c r="K7" s="16">
        <v>45992.0</v>
      </c>
    </row>
    <row r="8" ht="22.5" customHeight="1">
      <c r="A8" s="20" t="s">
        <v>331</v>
      </c>
      <c r="B8" s="20" t="s">
        <v>332</v>
      </c>
      <c r="C8" s="37" t="s">
        <v>333</v>
      </c>
      <c r="D8" s="20" t="s">
        <v>321</v>
      </c>
      <c r="E8" s="20">
        <v>1.0</v>
      </c>
      <c r="F8" s="20">
        <v>50.0</v>
      </c>
      <c r="G8" s="20">
        <v>50.0</v>
      </c>
      <c r="H8" s="37">
        <v>4600.0</v>
      </c>
      <c r="I8" s="37">
        <v>4600.0</v>
      </c>
      <c r="J8" s="37">
        <v>92.0</v>
      </c>
      <c r="K8" s="16">
        <v>45992.0</v>
      </c>
    </row>
    <row r="9" ht="22.5" customHeight="1"/>
    <row r="10" ht="22.5" customHeight="1">
      <c r="A10" s="27"/>
      <c r="B10" s="27"/>
      <c r="C10" s="36"/>
      <c r="D10" s="29"/>
      <c r="E10" s="29"/>
      <c r="F10" s="67"/>
      <c r="G10" s="67"/>
      <c r="H10" s="29"/>
      <c r="I10" s="43"/>
      <c r="J10" s="43"/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G1"/>
  </mergeCell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2025-12-30T03:04:27Z</dcterms:created>
  <dc:creator>openpyxl</dc:creator>
</cp:coreProperties>
</file>